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i" sheetId="1" state="visible" r:id="rId3"/>
    <sheet name="Corsi" sheetId="2" state="visible" r:id="rId4"/>
    <sheet name="Materie" sheetId="3" state="visible" r:id="rId5"/>
    <sheet name="Esami" sheetId="4" state="visible" r:id="rId6"/>
    <sheet name="Statistiche" sheetId="5" state="visible" r:id="rId7"/>
  </sheets>
  <definedNames>
    <definedName function="false" hidden="true" localSheetId="3" name="_xlnm._FilterDatabase" vbProcedure="false">Esami!$A$1:$G$76</definedName>
    <definedName function="false" hidden="true" localSheetId="2" name="_xlnm._FilterDatabase" vbProcedure="false">Materie!$A$1:$D$16</definedName>
    <definedName function="false" hidden="true" localSheetId="0" name="_xlnm._FilterDatabase" vbProcedure="false">Studenti!$A$1:$G$16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<sst xmlns="http://schemas.openxmlformats.org/spreadsheetml/2006/main" count="286" uniqueCount="194">
  <si>
    <t xml:space="preserve">ID_Studente</t>
  </si>
  <si>
    <t xml:space="preserve">Cognome</t>
  </si>
  <si>
    <t xml:space="preserve">Nome</t>
  </si>
  <si>
    <t xml:space="preserve">Data_Nascita</t>
  </si>
  <si>
    <t xml:space="preserve">Email</t>
  </si>
  <si>
    <t xml:space="preserve">Telefono</t>
  </si>
  <si>
    <t xml:space="preserve">ID_Corso</t>
  </si>
  <si>
    <t xml:space="preserve">Rossi</t>
  </si>
  <si>
    <t xml:space="preserve">Marco</t>
  </si>
  <si>
    <t xml:space="preserve">15/03/2003</t>
  </si>
  <si>
    <t xml:space="preserve">marco.rossi@its-ict.it</t>
  </si>
  <si>
    <t xml:space="preserve">333-1234567</t>
  </si>
  <si>
    <t xml:space="preserve">Bianchi</t>
  </si>
  <si>
    <t xml:space="preserve">Sara</t>
  </si>
  <si>
    <t xml:space="preserve">22/07/2002</t>
  </si>
  <si>
    <t xml:space="preserve">sara.bianchi@its-ict.it</t>
  </si>
  <si>
    <t xml:space="preserve">340-2345678</t>
  </si>
  <si>
    <t xml:space="preserve">Verdi</t>
  </si>
  <si>
    <t xml:space="preserve">Luca</t>
  </si>
  <si>
    <t xml:space="preserve">10/11/2003</t>
  </si>
  <si>
    <t xml:space="preserve">luca.verdi@its-ict.it</t>
  </si>
  <si>
    <t xml:space="preserve">345-3456789</t>
  </si>
  <si>
    <t xml:space="preserve">Ferrari</t>
  </si>
  <si>
    <t xml:space="preserve">Giulia</t>
  </si>
  <si>
    <t xml:space="preserve">05/01/2004</t>
  </si>
  <si>
    <t xml:space="preserve">giulia.ferrari@its-ict.it</t>
  </si>
  <si>
    <t xml:space="preserve">348-4567890</t>
  </si>
  <si>
    <t xml:space="preserve">Romano</t>
  </si>
  <si>
    <t xml:space="preserve">Andrea</t>
  </si>
  <si>
    <t xml:space="preserve">18/09/2002</t>
  </si>
  <si>
    <t xml:space="preserve">andrea.romano@its-ict.it</t>
  </si>
  <si>
    <t xml:space="preserve">351-5678901</t>
  </si>
  <si>
    <t xml:space="preserve">Colombo</t>
  </si>
  <si>
    <t xml:space="preserve">Elena</t>
  </si>
  <si>
    <t xml:space="preserve">27/04/2003</t>
  </si>
  <si>
    <t xml:space="preserve">elena.colombo@its-ict.it</t>
  </si>
  <si>
    <t xml:space="preserve">338-6789012</t>
  </si>
  <si>
    <t xml:space="preserve">Ricci</t>
  </si>
  <si>
    <t xml:space="preserve">Matteo</t>
  </si>
  <si>
    <t xml:space="preserve">14/06/2004</t>
  </si>
  <si>
    <t xml:space="preserve">matteo.ricci@its-ict.it</t>
  </si>
  <si>
    <t xml:space="preserve">346-7890123</t>
  </si>
  <si>
    <t xml:space="preserve">Marino</t>
  </si>
  <si>
    <t xml:space="preserve">Chiara</t>
  </si>
  <si>
    <t xml:space="preserve">30/12/2002</t>
  </si>
  <si>
    <t xml:space="preserve">chiara.marino@its-ict.it</t>
  </si>
  <si>
    <t xml:space="preserve">349-8901234</t>
  </si>
  <si>
    <t xml:space="preserve">Greco</t>
  </si>
  <si>
    <t xml:space="preserve">Davide</t>
  </si>
  <si>
    <t xml:space="preserve">08/08/2003</t>
  </si>
  <si>
    <t xml:space="preserve">davide.greco@its-ict.it</t>
  </si>
  <si>
    <t xml:space="preserve">334-9012345</t>
  </si>
  <si>
    <t xml:space="preserve">Bruno</t>
  </si>
  <si>
    <t xml:space="preserve">Federica</t>
  </si>
  <si>
    <t xml:space="preserve">21/02/2004</t>
  </si>
  <si>
    <t xml:space="preserve">federica.bruno@its-ict.it</t>
  </si>
  <si>
    <t xml:space="preserve">342-0123456</t>
  </si>
  <si>
    <t xml:space="preserve">Gallo</t>
  </si>
  <si>
    <t xml:space="preserve">Alessandro</t>
  </si>
  <si>
    <t xml:space="preserve">13/05/2003</t>
  </si>
  <si>
    <t xml:space="preserve">alessandro.gallo@its-ict.it</t>
  </si>
  <si>
    <t xml:space="preserve">347-1234560</t>
  </si>
  <si>
    <t xml:space="preserve">Costa</t>
  </si>
  <si>
    <t xml:space="preserve">Martina</t>
  </si>
  <si>
    <t xml:space="preserve">26/10/2002</t>
  </si>
  <si>
    <t xml:space="preserve">martina.costa@its-ict.it</t>
  </si>
  <si>
    <t xml:space="preserve">350-2345601</t>
  </si>
  <si>
    <t xml:space="preserve">Fontana</t>
  </si>
  <si>
    <t xml:space="preserve">Simone</t>
  </si>
  <si>
    <t xml:space="preserve">09/07/2004</t>
  </si>
  <si>
    <t xml:space="preserve">simone.fontana@its-ict.it</t>
  </si>
  <si>
    <t xml:space="preserve">335-3456012</t>
  </si>
  <si>
    <t xml:space="preserve">Conti</t>
  </si>
  <si>
    <t xml:space="preserve">Alessia</t>
  </si>
  <si>
    <t xml:space="preserve">17/03/2003</t>
  </si>
  <si>
    <t xml:space="preserve">alessia.conti@its-ict.it</t>
  </si>
  <si>
    <t xml:space="preserve">341-4560123</t>
  </si>
  <si>
    <t xml:space="preserve">De Luca</t>
  </si>
  <si>
    <t xml:space="preserve">Francesco</t>
  </si>
  <si>
    <t xml:space="preserve">01/11/2002</t>
  </si>
  <si>
    <t xml:space="preserve">francesco.deluca@its-ict.it</t>
  </si>
  <si>
    <t xml:space="preserve">344-5601234</t>
  </si>
  <si>
    <t xml:space="preserve">Nome_Corso</t>
  </si>
  <si>
    <t xml:space="preserve">Anno_Accademico</t>
  </si>
  <si>
    <t xml:space="preserve">Durata_Ore</t>
  </si>
  <si>
    <t xml:space="preserve">Sede</t>
  </si>
  <si>
    <t xml:space="preserve">Sviluppo Software</t>
  </si>
  <si>
    <t xml:space="preserve">2024/2025</t>
  </si>
  <si>
    <t xml:space="preserve">Torino</t>
  </si>
  <si>
    <t xml:space="preserve">Cloud Computing</t>
  </si>
  <si>
    <t xml:space="preserve">Cybersecurity</t>
  </si>
  <si>
    <t xml:space="preserve">Novara</t>
  </si>
  <si>
    <t xml:space="preserve">ID_Materia</t>
  </si>
  <si>
    <t xml:space="preserve">Nome_Materia</t>
  </si>
  <si>
    <t xml:space="preserve">CFU</t>
  </si>
  <si>
    <t xml:space="preserve">Programmazione Java</t>
  </si>
  <si>
    <t xml:space="preserve">Basi di Dati</t>
  </si>
  <si>
    <t xml:space="preserve">Sviluppo Web</t>
  </si>
  <si>
    <t xml:space="preserve">Mobile Development</t>
  </si>
  <si>
    <t xml:space="preserve">Software Engineering</t>
  </si>
  <si>
    <t xml:space="preserve">Infrastrutture Cloud</t>
  </si>
  <si>
    <t xml:space="preserve">Container e Orchestrazione</t>
  </si>
  <si>
    <t xml:space="preserve">DevOps e CI/CD</t>
  </si>
  <si>
    <t xml:space="preserve">Cloud Security</t>
  </si>
  <si>
    <t xml:space="preserve">Microservizi</t>
  </si>
  <si>
    <t xml:space="preserve">Network Security</t>
  </si>
  <si>
    <t xml:space="preserve">Ethical Hacking</t>
  </si>
  <si>
    <t xml:space="preserve">Crittografia</t>
  </si>
  <si>
    <t xml:space="preserve">Security Operations</t>
  </si>
  <si>
    <t xml:space="preserve">Incident Response</t>
  </si>
  <si>
    <t xml:space="preserve">ID_Esame</t>
  </si>
  <si>
    <t xml:space="preserve">Data_Esame</t>
  </si>
  <si>
    <t xml:space="preserve">Voto</t>
  </si>
  <si>
    <t xml:space="preserve">Lode</t>
  </si>
  <si>
    <t xml:space="preserve">Note</t>
  </si>
  <si>
    <t xml:space="preserve">16/03/2025</t>
  </si>
  <si>
    <t xml:space="preserve">No</t>
  </si>
  <si>
    <t xml:space="preserve">18/01/2025</t>
  </si>
  <si>
    <t xml:space="preserve">09/03/2025</t>
  </si>
  <si>
    <t xml:space="preserve">21/02/2025</t>
  </si>
  <si>
    <t xml:space="preserve">14/12/2024</t>
  </si>
  <si>
    <t xml:space="preserve">01/01/2025</t>
  </si>
  <si>
    <t xml:space="preserve">01/03/2025</t>
  </si>
  <si>
    <t xml:space="preserve">20/02/2025</t>
  </si>
  <si>
    <t xml:space="preserve">18/10/2024</t>
  </si>
  <si>
    <t xml:space="preserve">11/01/2025</t>
  </si>
  <si>
    <t xml:space="preserve">10/10/2024</t>
  </si>
  <si>
    <t xml:space="preserve">08/11/2024</t>
  </si>
  <si>
    <t xml:space="preserve">23/10/2024</t>
  </si>
  <si>
    <t xml:space="preserve">13/01/2025</t>
  </si>
  <si>
    <t xml:space="preserve">02/01/2025</t>
  </si>
  <si>
    <t xml:space="preserve">19/10/2024</t>
  </si>
  <si>
    <t xml:space="preserve">05/11/2024</t>
  </si>
  <si>
    <t xml:space="preserve">04/02/2025</t>
  </si>
  <si>
    <t xml:space="preserve">23/02/2025</t>
  </si>
  <si>
    <t xml:space="preserve">12/12/2024</t>
  </si>
  <si>
    <t xml:space="preserve">09/11/2024</t>
  </si>
  <si>
    <t xml:space="preserve">15/03/2025</t>
  </si>
  <si>
    <t xml:space="preserve">13/02/2025</t>
  </si>
  <si>
    <t xml:space="preserve">04/03/2025</t>
  </si>
  <si>
    <t xml:space="preserve">24/10/2024</t>
  </si>
  <si>
    <t xml:space="preserve">20/12/2024</t>
  </si>
  <si>
    <t xml:space="preserve">04/12/2024</t>
  </si>
  <si>
    <t xml:space="preserve">03/02/2025</t>
  </si>
  <si>
    <t xml:space="preserve">02/03/2025</t>
  </si>
  <si>
    <t xml:space="preserve">13/12/2024</t>
  </si>
  <si>
    <t xml:space="preserve">06/01/2025</t>
  </si>
  <si>
    <t xml:space="preserve">17/01/2025</t>
  </si>
  <si>
    <t xml:space="preserve">15/10/2024</t>
  </si>
  <si>
    <t xml:space="preserve">05/02/2025</t>
  </si>
  <si>
    <t xml:space="preserve">27/02/2025</t>
  </si>
  <si>
    <t xml:space="preserve">06/03/2025</t>
  </si>
  <si>
    <t xml:space="preserve">25/10/2024</t>
  </si>
  <si>
    <t xml:space="preserve">14/02/2025</t>
  </si>
  <si>
    <t xml:space="preserve">21/10/2024</t>
  </si>
  <si>
    <t xml:space="preserve">27/11/2024</t>
  </si>
  <si>
    <t xml:space="preserve">14/03/2025</t>
  </si>
  <si>
    <t xml:space="preserve">27/01/2025</t>
  </si>
  <si>
    <t xml:space="preserve">23/01/2025</t>
  </si>
  <si>
    <t xml:space="preserve">05/10/2024</t>
  </si>
  <si>
    <t xml:space="preserve">12/10/2024</t>
  </si>
  <si>
    <t xml:space="preserve">Sì</t>
  </si>
  <si>
    <t xml:space="preserve">Performance eccellente</t>
  </si>
  <si>
    <t xml:space="preserve">19/12/2024</t>
  </si>
  <si>
    <t xml:space="preserve">11/12/2024</t>
  </si>
  <si>
    <t xml:space="preserve">06/12/2024</t>
  </si>
  <si>
    <t xml:space="preserve">06/02/2025</t>
  </si>
  <si>
    <t xml:space="preserve">11/03/2025</t>
  </si>
  <si>
    <t xml:space="preserve">08/01/2025</t>
  </si>
  <si>
    <t xml:space="preserve">28/10/2024</t>
  </si>
  <si>
    <t xml:space="preserve">18/12/2024</t>
  </si>
  <si>
    <t xml:space="preserve">05/12/2024</t>
  </si>
  <si>
    <t xml:space="preserve">20/10/2024</t>
  </si>
  <si>
    <t xml:space="preserve">17/10/2024</t>
  </si>
  <si>
    <t xml:space="preserve">22/02/2025</t>
  </si>
  <si>
    <t xml:space="preserve">11/10/2024</t>
  </si>
  <si>
    <t xml:space="preserve">20/03/2025</t>
  </si>
  <si>
    <t xml:space="preserve">04/01/2025</t>
  </si>
  <si>
    <t xml:space="preserve">21/12/2024</t>
  </si>
  <si>
    <t xml:space="preserve">31/01/2025</t>
  </si>
  <si>
    <t xml:space="preserve">17/12/2024</t>
  </si>
  <si>
    <t xml:space="preserve">24/12/2024</t>
  </si>
  <si>
    <t xml:space="preserve">Metrica</t>
  </si>
  <si>
    <t xml:space="preserve">Valore</t>
  </si>
  <si>
    <t xml:space="preserve">Formula</t>
  </si>
  <si>
    <t xml:space="preserve">Numero Totale Studenti</t>
  </si>
  <si>
    <t xml:space="preserve">Numero Totale Corsi</t>
  </si>
  <si>
    <t xml:space="preserve">Numero Totale Esami Sostenuti</t>
  </si>
  <si>
    <t xml:space="preserve">Media Voti Complessiva</t>
  </si>
  <si>
    <t xml:space="preserve">Voto Massimo</t>
  </si>
  <si>
    <t xml:space="preserve">Voto Minimo</t>
  </si>
  <si>
    <t xml:space="preserve">Numero Esami con Lode</t>
  </si>
  <si>
    <t xml:space="preserve">Percentuale Esami con Lode</t>
  </si>
  <si>
    <t xml:space="preserve">Esami con lode / Totale esami * 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</si>
</sst>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9"/>
    <col collapsed="false" customWidth="true" hidden="false" outlineLevel="0" max="6" min="6" style="1" width="13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</v>
      </c>
      <c r="B2" s="4" t="s">
        <v>7</v>
      </c>
      <c r="C2" s="4" t="s">
        <v>8</v>
      </c>
      <c r="D2" s="3" t="s">
        <v>9</v>
      </c>
      <c r="E2" s="4" t="s">
        <v>10</v>
      </c>
      <c r="F2" s="4" t="s">
        <v>11</v>
      </c>
      <c r="G2" s="3" t="n">
        <v>1</v>
      </c>
    </row>
    <row r="3" customFormat="false" ht="15" hidden="false" customHeight="true" outlineLevel="0" collapsed="false">
      <c r="A3" s="3" t="n">
        <v>2</v>
      </c>
      <c r="B3" s="4" t="s">
        <v>12</v>
      </c>
      <c r="C3" s="4" t="s">
        <v>13</v>
      </c>
      <c r="D3" s="3" t="s">
        <v>14</v>
      </c>
      <c r="E3" s="4" t="s">
        <v>15</v>
      </c>
      <c r="F3" s="4" t="s">
        <v>16</v>
      </c>
      <c r="G3" s="3" t="n">
        <v>1</v>
      </c>
    </row>
    <row r="4" customFormat="false" ht="15" hidden="false" customHeight="true" outlineLevel="0" collapsed="false">
      <c r="A4" s="3" t="n">
        <v>3</v>
      </c>
      <c r="B4" s="4" t="s">
        <v>17</v>
      </c>
      <c r="C4" s="4" t="s">
        <v>18</v>
      </c>
      <c r="D4" s="3" t="s">
        <v>19</v>
      </c>
      <c r="E4" s="4" t="s">
        <v>20</v>
      </c>
      <c r="F4" s="4" t="s">
        <v>21</v>
      </c>
      <c r="G4" s="3" t="n">
        <v>2</v>
      </c>
    </row>
    <row r="5" customFormat="false" ht="15" hidden="false" customHeight="true" outlineLevel="0" collapsed="false">
      <c r="A5" s="3" t="n">
        <v>4</v>
      </c>
      <c r="B5" s="4" t="s">
        <v>22</v>
      </c>
      <c r="C5" s="4" t="s">
        <v>23</v>
      </c>
      <c r="D5" s="3" t="s">
        <v>24</v>
      </c>
      <c r="E5" s="4" t="s">
        <v>25</v>
      </c>
      <c r="F5" s="4" t="s">
        <v>26</v>
      </c>
      <c r="G5" s="3" t="n">
        <v>2</v>
      </c>
    </row>
    <row r="6" customFormat="false" ht="15" hidden="false" customHeight="true" outlineLevel="0" collapsed="false">
      <c r="A6" s="3" t="n">
        <v>5</v>
      </c>
      <c r="B6" s="4" t="s">
        <v>27</v>
      </c>
      <c r="C6" s="4" t="s">
        <v>28</v>
      </c>
      <c r="D6" s="3" t="s">
        <v>29</v>
      </c>
      <c r="E6" s="4" t="s">
        <v>30</v>
      </c>
      <c r="F6" s="4" t="s">
        <v>31</v>
      </c>
      <c r="G6" s="3" t="n">
        <v>3</v>
      </c>
    </row>
    <row r="7" customFormat="false" ht="15" hidden="false" customHeight="true" outlineLevel="0" collapsed="false">
      <c r="A7" s="3" t="n">
        <v>6</v>
      </c>
      <c r="B7" s="4" t="s">
        <v>32</v>
      </c>
      <c r="C7" s="4" t="s">
        <v>33</v>
      </c>
      <c r="D7" s="3" t="s">
        <v>34</v>
      </c>
      <c r="E7" s="4" t="s">
        <v>35</v>
      </c>
      <c r="F7" s="4" t="s">
        <v>36</v>
      </c>
      <c r="G7" s="3" t="n">
        <v>3</v>
      </c>
    </row>
    <row r="8" customFormat="false" ht="15" hidden="false" customHeight="true" outlineLevel="0" collapsed="false">
      <c r="A8" s="3" t="n">
        <v>7</v>
      </c>
      <c r="B8" s="4" t="s">
        <v>37</v>
      </c>
      <c r="C8" s="4" t="s">
        <v>38</v>
      </c>
      <c r="D8" s="3" t="s">
        <v>39</v>
      </c>
      <c r="E8" s="4" t="s">
        <v>40</v>
      </c>
      <c r="F8" s="4" t="s">
        <v>41</v>
      </c>
      <c r="G8" s="3" t="n">
        <v>1</v>
      </c>
    </row>
    <row r="9" customFormat="false" ht="15" hidden="false" customHeight="true" outlineLevel="0" collapsed="false">
      <c r="A9" s="3" t="n">
        <v>8</v>
      </c>
      <c r="B9" s="4" t="s">
        <v>42</v>
      </c>
      <c r="C9" s="4" t="s">
        <v>43</v>
      </c>
      <c r="D9" s="3" t="s">
        <v>44</v>
      </c>
      <c r="E9" s="4" t="s">
        <v>45</v>
      </c>
      <c r="F9" s="4" t="s">
        <v>46</v>
      </c>
      <c r="G9" s="3" t="n">
        <v>2</v>
      </c>
    </row>
    <row r="10" customFormat="false" ht="15" hidden="false" customHeight="true" outlineLevel="0" collapsed="false">
      <c r="A10" s="3" t="n">
        <v>9</v>
      </c>
      <c r="B10" s="4" t="s">
        <v>47</v>
      </c>
      <c r="C10" s="4" t="s">
        <v>48</v>
      </c>
      <c r="D10" s="3" t="s">
        <v>49</v>
      </c>
      <c r="E10" s="4" t="s">
        <v>50</v>
      </c>
      <c r="F10" s="4" t="s">
        <v>51</v>
      </c>
      <c r="G10" s="3" t="n">
        <v>3</v>
      </c>
    </row>
    <row r="11" customFormat="false" ht="15" hidden="false" customHeight="true" outlineLevel="0" collapsed="false">
      <c r="A11" s="3" t="n">
        <v>10</v>
      </c>
      <c r="B11" s="4" t="s">
        <v>52</v>
      </c>
      <c r="C11" s="4" t="s">
        <v>53</v>
      </c>
      <c r="D11" s="3" t="s">
        <v>54</v>
      </c>
      <c r="E11" s="4" t="s">
        <v>55</v>
      </c>
      <c r="F11" s="4" t="s">
        <v>56</v>
      </c>
      <c r="G11" s="3" t="n">
        <v>1</v>
      </c>
    </row>
    <row r="12" customFormat="false" ht="15" hidden="false" customHeight="true" outlineLevel="0" collapsed="false">
      <c r="A12" s="3" t="n">
        <v>11</v>
      </c>
      <c r="B12" s="4" t="s">
        <v>57</v>
      </c>
      <c r="C12" s="4" t="s">
        <v>58</v>
      </c>
      <c r="D12" s="3" t="s">
        <v>59</v>
      </c>
      <c r="E12" s="4" t="s">
        <v>60</v>
      </c>
      <c r="F12" s="4" t="s">
        <v>61</v>
      </c>
      <c r="G12" s="3" t="n">
        <v>2</v>
      </c>
    </row>
    <row r="13" customFormat="false" ht="15" hidden="false" customHeight="true" outlineLevel="0" collapsed="false">
      <c r="A13" s="3" t="n">
        <v>12</v>
      </c>
      <c r="B13" s="4" t="s">
        <v>62</v>
      </c>
      <c r="C13" s="4" t="s">
        <v>63</v>
      </c>
      <c r="D13" s="3" t="s">
        <v>64</v>
      </c>
      <c r="E13" s="4" t="s">
        <v>65</v>
      </c>
      <c r="F13" s="4" t="s">
        <v>66</v>
      </c>
      <c r="G13" s="3" t="n">
        <v>3</v>
      </c>
    </row>
    <row r="14" customFormat="false" ht="15" hidden="false" customHeight="true" outlineLevel="0" collapsed="false">
      <c r="A14" s="3" t="n">
        <v>13</v>
      </c>
      <c r="B14" s="4" t="s">
        <v>67</v>
      </c>
      <c r="C14" s="4" t="s">
        <v>68</v>
      </c>
      <c r="D14" s="3" t="s">
        <v>69</v>
      </c>
      <c r="E14" s="4" t="s">
        <v>70</v>
      </c>
      <c r="F14" s="4" t="s">
        <v>71</v>
      </c>
      <c r="G14" s="3" t="n">
        <v>1</v>
      </c>
    </row>
    <row r="15" customFormat="false" ht="15" hidden="false" customHeight="true" outlineLevel="0" collapsed="false">
      <c r="A15" s="3" t="n">
        <v>14</v>
      </c>
      <c r="B15" s="4" t="s">
        <v>72</v>
      </c>
      <c r="C15" s="4" t="s">
        <v>73</v>
      </c>
      <c r="D15" s="3" t="s">
        <v>74</v>
      </c>
      <c r="E15" s="4" t="s">
        <v>75</v>
      </c>
      <c r="F15" s="4" t="s">
        <v>76</v>
      </c>
      <c r="G15" s="3" t="n">
        <v>2</v>
      </c>
    </row>
    <row r="16" customFormat="false" ht="15" hidden="false" customHeight="true" outlineLevel="0" collapsed="false">
      <c r="A16" s="3" t="n">
        <v>15</v>
      </c>
      <c r="B16" s="4" t="s">
        <v>77</v>
      </c>
      <c r="C16" s="4" t="s">
        <v>78</v>
      </c>
      <c r="D16" s="3" t="s">
        <v>79</v>
      </c>
      <c r="E16" s="4" t="s">
        <v>80</v>
      </c>
      <c r="F16" s="4" t="s">
        <v>81</v>
      </c>
      <c r="G16" s="3" t="n">
        <v>3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9"/>
    <col collapsed="false" customWidth="true" hidden="false" outlineLevel="0" max="3" min="3" style="1" width="17"/>
    <col collapsed="false" customWidth="true" hidden="false" outlineLevel="0" max="4" min="4" style="1" width="12"/>
    <col collapsed="false" customWidth="true" hidden="false" outlineLevel="0" max="5" min="5" style="1" width="8"/>
  </cols>
  <sheetData>
    <row r="1" customFormat="false" ht="15" hidden="false" customHeight="true" outlineLevel="0" collapsed="false">
      <c r="A1" s="2" t="s">
        <v>6</v>
      </c>
      <c r="B1" s="2" t="s">
        <v>82</v>
      </c>
      <c r="C1" s="2" t="s">
        <v>83</v>
      </c>
      <c r="D1" s="2" t="s">
        <v>84</v>
      </c>
      <c r="E1" s="2" t="s">
        <v>85</v>
      </c>
    </row>
    <row r="2" customFormat="false" ht="15" hidden="false" customHeight="true" outlineLevel="0" collapsed="false">
      <c r="A2" s="3" t="n">
        <v>1</v>
      </c>
      <c r="B2" s="4" t="s">
        <v>86</v>
      </c>
      <c r="C2" s="3" t="s">
        <v>87</v>
      </c>
      <c r="D2" s="4" t="n">
        <v>2000</v>
      </c>
      <c r="E2" s="4" t="s">
        <v>88</v>
      </c>
    </row>
    <row r="3" customFormat="false" ht="15" hidden="false" customHeight="true" outlineLevel="0" collapsed="false">
      <c r="A3" s="3" t="n">
        <v>2</v>
      </c>
      <c r="B3" s="4" t="s">
        <v>89</v>
      </c>
      <c r="C3" s="3" t="s">
        <v>87</v>
      </c>
      <c r="D3" s="4" t="n">
        <v>2000</v>
      </c>
      <c r="E3" s="4" t="s">
        <v>88</v>
      </c>
    </row>
    <row r="4" customFormat="false" ht="15" hidden="false" customHeight="true" outlineLevel="0" collapsed="false">
      <c r="A4" s="3" t="n">
        <v>3</v>
      </c>
      <c r="B4" s="4" t="s">
        <v>90</v>
      </c>
      <c r="C4" s="3" t="s">
        <v>87</v>
      </c>
      <c r="D4" s="4" t="n">
        <v>2000</v>
      </c>
      <c r="E4" s="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"/>
    <col collapsed="false" customWidth="true" hidden="false" outlineLevel="0" max="4" min="4" style="1" width="10"/>
  </cols>
  <sheetData>
    <row r="1" customFormat="false" ht="15" hidden="false" customHeight="true" outlineLevel="0" collapsed="false">
      <c r="A1" s="2" t="s">
        <v>92</v>
      </c>
      <c r="B1" s="2" t="s">
        <v>93</v>
      </c>
      <c r="C1" s="2" t="s">
        <v>94</v>
      </c>
      <c r="D1" s="2" t="s">
        <v>6</v>
      </c>
    </row>
    <row r="2" customFormat="false" ht="15" hidden="false" customHeight="true" outlineLevel="0" collapsed="false">
      <c r="A2" s="3" t="n">
        <v>1</v>
      </c>
      <c r="B2" s="4" t="s">
        <v>95</v>
      </c>
      <c r="C2" s="4" t="n">
        <v>8</v>
      </c>
      <c r="D2" s="4" t="n">
        <v>1</v>
      </c>
    </row>
    <row r="3" customFormat="false" ht="15" hidden="false" customHeight="true" outlineLevel="0" collapsed="false">
      <c r="A3" s="3" t="n">
        <v>2</v>
      </c>
      <c r="B3" s="4" t="s">
        <v>96</v>
      </c>
      <c r="C3" s="4" t="n">
        <v>6</v>
      </c>
      <c r="D3" s="4" t="n">
        <v>1</v>
      </c>
    </row>
    <row r="4" customFormat="false" ht="15" hidden="false" customHeight="true" outlineLevel="0" collapsed="false">
      <c r="A4" s="3" t="n">
        <v>3</v>
      </c>
      <c r="B4" s="4" t="s">
        <v>97</v>
      </c>
      <c r="C4" s="4" t="n">
        <v>8</v>
      </c>
      <c r="D4" s="4" t="n">
        <v>1</v>
      </c>
    </row>
    <row r="5" customFormat="false" ht="15" hidden="false" customHeight="true" outlineLevel="0" collapsed="false">
      <c r="A5" s="3" t="n">
        <v>4</v>
      </c>
      <c r="B5" s="4" t="s">
        <v>98</v>
      </c>
      <c r="C5" s="4" t="n">
        <v>6</v>
      </c>
      <c r="D5" s="4" t="n">
        <v>1</v>
      </c>
    </row>
    <row r="6" customFormat="false" ht="15" hidden="false" customHeight="true" outlineLevel="0" collapsed="false">
      <c r="A6" s="3" t="n">
        <v>5</v>
      </c>
      <c r="B6" s="4" t="s">
        <v>99</v>
      </c>
      <c r="C6" s="4" t="n">
        <v>7</v>
      </c>
      <c r="D6" s="4" t="n">
        <v>1</v>
      </c>
    </row>
    <row r="7" customFormat="false" ht="15" hidden="false" customHeight="true" outlineLevel="0" collapsed="false">
      <c r="A7" s="3" t="n">
        <v>6</v>
      </c>
      <c r="B7" s="4" t="s">
        <v>100</v>
      </c>
      <c r="C7" s="4" t="n">
        <v>8</v>
      </c>
      <c r="D7" s="4" t="n">
        <v>2</v>
      </c>
    </row>
    <row r="8" customFormat="false" ht="15" hidden="false" customHeight="true" outlineLevel="0" collapsed="false">
      <c r="A8" s="3" t="n">
        <v>7</v>
      </c>
      <c r="B8" s="4" t="s">
        <v>101</v>
      </c>
      <c r="C8" s="4" t="n">
        <v>7</v>
      </c>
      <c r="D8" s="4" t="n">
        <v>2</v>
      </c>
    </row>
    <row r="9" customFormat="false" ht="15" hidden="false" customHeight="true" outlineLevel="0" collapsed="false">
      <c r="A9" s="3" t="n">
        <v>8</v>
      </c>
      <c r="B9" s="3" t="s">
        <v>102</v>
      </c>
      <c r="C9" s="4" t="n">
        <v>6</v>
      </c>
      <c r="D9" s="4" t="n">
        <v>2</v>
      </c>
    </row>
    <row r="10" customFormat="false" ht="15" hidden="false" customHeight="true" outlineLevel="0" collapsed="false">
      <c r="A10" s="3" t="n">
        <v>9</v>
      </c>
      <c r="B10" s="4" t="s">
        <v>103</v>
      </c>
      <c r="C10" s="4" t="n">
        <v>6</v>
      </c>
      <c r="D10" s="4" t="n">
        <v>2</v>
      </c>
    </row>
    <row r="11" customFormat="false" ht="15" hidden="false" customHeight="true" outlineLevel="0" collapsed="false">
      <c r="A11" s="3" t="n">
        <v>10</v>
      </c>
      <c r="B11" s="4" t="s">
        <v>104</v>
      </c>
      <c r="C11" s="4" t="n">
        <v>7</v>
      </c>
      <c r="D11" s="4" t="n">
        <v>2</v>
      </c>
    </row>
    <row r="12" customFormat="false" ht="15" hidden="false" customHeight="true" outlineLevel="0" collapsed="false">
      <c r="A12" s="3" t="n">
        <v>11</v>
      </c>
      <c r="B12" s="4" t="s">
        <v>105</v>
      </c>
      <c r="C12" s="4" t="n">
        <v>8</v>
      </c>
      <c r="D12" s="4" t="n">
        <v>3</v>
      </c>
    </row>
    <row r="13" customFormat="false" ht="15" hidden="false" customHeight="true" outlineLevel="0" collapsed="false">
      <c r="A13" s="3" t="n">
        <v>12</v>
      </c>
      <c r="B13" s="4" t="s">
        <v>106</v>
      </c>
      <c r="C13" s="4" t="n">
        <v>7</v>
      </c>
      <c r="D13" s="4" t="n">
        <v>3</v>
      </c>
    </row>
    <row r="14" customFormat="false" ht="15" hidden="false" customHeight="true" outlineLevel="0" collapsed="false">
      <c r="A14" s="3" t="n">
        <v>13</v>
      </c>
      <c r="B14" s="4" t="s">
        <v>107</v>
      </c>
      <c r="C14" s="4" t="n">
        <v>6</v>
      </c>
      <c r="D14" s="4" t="n">
        <v>3</v>
      </c>
    </row>
    <row r="15" customFormat="false" ht="15" hidden="false" customHeight="true" outlineLevel="0" collapsed="false">
      <c r="A15" s="3" t="n">
        <v>14</v>
      </c>
      <c r="B15" s="4" t="s">
        <v>108</v>
      </c>
      <c r="C15" s="4" t="n">
        <v>7</v>
      </c>
      <c r="D15" s="4" t="n">
        <v>3</v>
      </c>
    </row>
    <row r="16" customFormat="false" ht="15" hidden="false" customHeight="true" outlineLevel="0" collapsed="false">
      <c r="A16" s="3" t="n">
        <v>15</v>
      </c>
      <c r="B16" s="4" t="s">
        <v>109</v>
      </c>
      <c r="C16" s="4" t="n">
        <v>6</v>
      </c>
      <c r="D16" s="4" t="n">
        <v>3</v>
      </c>
    </row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4" min="3" style="1" width="12"/>
    <col collapsed="false" customWidth="true" hidden="false" outlineLevel="0" max="6" min="5" style="1" width="6"/>
    <col collapsed="false" customWidth="true" hidden="false" outlineLevel="0" max="7" min="7" style="1" width="24"/>
  </cols>
  <sheetData>
    <row r="1" customFormat="false" ht="15" hidden="false" customHeight="true" outlineLevel="0" collapsed="false">
      <c r="A1" s="2" t="s">
        <v>110</v>
      </c>
      <c r="B1" s="2" t="s">
        <v>0</v>
      </c>
      <c r="C1" s="2" t="s">
        <v>92</v>
      </c>
      <c r="D1" s="2" t="s">
        <v>111</v>
      </c>
      <c r="E1" s="2" t="s">
        <v>112</v>
      </c>
      <c r="F1" s="2" t="s">
        <v>113</v>
      </c>
      <c r="G1" s="2" t="s">
        <v>114</v>
      </c>
    </row>
    <row r="2" customFormat="false" ht="15" hidden="false" customHeight="true" outlineLevel="0" collapsed="false">
      <c r="A2" s="3" t="n">
        <v>1</v>
      </c>
      <c r="B2" s="4" t="n">
        <v>1</v>
      </c>
      <c r="C2" s="4" t="n">
        <v>1</v>
      </c>
      <c r="D2" s="3" t="s">
        <v>115</v>
      </c>
      <c r="E2" s="4" t="n">
        <v>28</v>
      </c>
      <c r="F2" s="4" t="s">
        <v>116</v>
      </c>
      <c r="G2" s="3"/>
    </row>
    <row r="3" customFormat="false" ht="15" hidden="false" customHeight="true" outlineLevel="0" collapsed="false">
      <c r="A3" s="3" t="n">
        <v>2</v>
      </c>
      <c r="B3" s="4" t="n">
        <v>1</v>
      </c>
      <c r="C3" s="4" t="n">
        <v>2</v>
      </c>
      <c r="D3" s="3" t="s">
        <v>117</v>
      </c>
      <c r="E3" s="4" t="n">
        <v>22</v>
      </c>
      <c r="F3" s="4" t="s">
        <v>116</v>
      </c>
      <c r="G3" s="3"/>
    </row>
    <row r="4" customFormat="false" ht="15" hidden="false" customHeight="true" outlineLevel="0" collapsed="false">
      <c r="A4" s="3" t="n">
        <v>3</v>
      </c>
      <c r="B4" s="4" t="n">
        <v>1</v>
      </c>
      <c r="C4" s="4" t="n">
        <v>3</v>
      </c>
      <c r="D4" s="3" t="s">
        <v>118</v>
      </c>
      <c r="E4" s="4" t="n">
        <v>29</v>
      </c>
      <c r="F4" s="4" t="s">
        <v>116</v>
      </c>
      <c r="G4" s="3"/>
    </row>
    <row r="5" customFormat="false" ht="15" hidden="false" customHeight="true" outlineLevel="0" collapsed="false">
      <c r="A5" s="3" t="n">
        <v>4</v>
      </c>
      <c r="B5" s="4" t="n">
        <v>1</v>
      </c>
      <c r="C5" s="4" t="n">
        <v>4</v>
      </c>
      <c r="D5" s="3" t="s">
        <v>119</v>
      </c>
      <c r="E5" s="4" t="n">
        <v>24</v>
      </c>
      <c r="F5" s="4" t="s">
        <v>116</v>
      </c>
      <c r="G5" s="3"/>
    </row>
    <row r="6" customFormat="false" ht="15" hidden="false" customHeight="true" outlineLevel="0" collapsed="false">
      <c r="A6" s="3" t="n">
        <v>5</v>
      </c>
      <c r="B6" s="4" t="n">
        <v>1</v>
      </c>
      <c r="C6" s="4" t="n">
        <v>5</v>
      </c>
      <c r="D6" s="3" t="s">
        <v>120</v>
      </c>
      <c r="E6" s="4" t="n">
        <v>24</v>
      </c>
      <c r="F6" s="4" t="s">
        <v>116</v>
      </c>
      <c r="G6" s="3"/>
    </row>
    <row r="7" customFormat="false" ht="15" hidden="false" customHeight="true" outlineLevel="0" collapsed="false">
      <c r="A7" s="3" t="n">
        <v>6</v>
      </c>
      <c r="B7" s="4" t="n">
        <v>2</v>
      </c>
      <c r="C7" s="4" t="n">
        <v>1</v>
      </c>
      <c r="D7" s="3" t="s">
        <v>121</v>
      </c>
      <c r="E7" s="4" t="n">
        <v>20</v>
      </c>
      <c r="F7" s="4" t="s">
        <v>116</v>
      </c>
      <c r="G7" s="3"/>
    </row>
    <row r="8" customFormat="false" ht="15" hidden="false" customHeight="true" outlineLevel="0" collapsed="false">
      <c r="A8" s="3" t="n">
        <v>7</v>
      </c>
      <c r="B8" s="4" t="n">
        <v>2</v>
      </c>
      <c r="C8" s="4" t="n">
        <v>2</v>
      </c>
      <c r="D8" s="3" t="s">
        <v>122</v>
      </c>
      <c r="E8" s="4" t="n">
        <v>18</v>
      </c>
      <c r="F8" s="4" t="s">
        <v>116</v>
      </c>
      <c r="G8" s="3"/>
    </row>
    <row r="9" customFormat="false" ht="15" hidden="false" customHeight="true" outlineLevel="0" collapsed="false">
      <c r="A9" s="3" t="n">
        <v>8</v>
      </c>
      <c r="B9" s="4" t="n">
        <v>2</v>
      </c>
      <c r="C9" s="4" t="n">
        <v>3</v>
      </c>
      <c r="D9" s="3" t="s">
        <v>123</v>
      </c>
      <c r="E9" s="4" t="n">
        <v>26</v>
      </c>
      <c r="F9" s="4" t="s">
        <v>116</v>
      </c>
      <c r="G9" s="3"/>
    </row>
    <row r="10" customFormat="false" ht="15" hidden="false" customHeight="true" outlineLevel="0" collapsed="false">
      <c r="A10" s="3" t="n">
        <v>9</v>
      </c>
      <c r="B10" s="4" t="n">
        <v>2</v>
      </c>
      <c r="C10" s="4" t="n">
        <v>4</v>
      </c>
      <c r="D10" s="3" t="s">
        <v>124</v>
      </c>
      <c r="E10" s="4" t="n">
        <v>25</v>
      </c>
      <c r="F10" s="4" t="s">
        <v>116</v>
      </c>
      <c r="G10" s="3"/>
    </row>
    <row r="11" customFormat="false" ht="15" hidden="false" customHeight="true" outlineLevel="0" collapsed="false">
      <c r="A11" s="3" t="n">
        <v>10</v>
      </c>
      <c r="B11" s="4" t="n">
        <v>2</v>
      </c>
      <c r="C11" s="4" t="n">
        <v>5</v>
      </c>
      <c r="D11" s="3" t="s">
        <v>125</v>
      </c>
      <c r="E11" s="4" t="n">
        <v>24</v>
      </c>
      <c r="F11" s="4" t="s">
        <v>116</v>
      </c>
      <c r="G11" s="3"/>
    </row>
    <row r="12" customFormat="false" ht="15" hidden="false" customHeight="true" outlineLevel="0" collapsed="false">
      <c r="A12" s="3" t="n">
        <v>11</v>
      </c>
      <c r="B12" s="4" t="n">
        <v>7</v>
      </c>
      <c r="C12" s="4" t="n">
        <v>1</v>
      </c>
      <c r="D12" s="3" t="s">
        <v>117</v>
      </c>
      <c r="E12" s="4" t="n">
        <v>22</v>
      </c>
      <c r="F12" s="4" t="s">
        <v>116</v>
      </c>
      <c r="G12" s="3"/>
    </row>
    <row r="13" customFormat="false" ht="15" hidden="false" customHeight="true" outlineLevel="0" collapsed="false">
      <c r="A13" s="3" t="n">
        <v>12</v>
      </c>
      <c r="B13" s="4" t="n">
        <v>7</v>
      </c>
      <c r="C13" s="4" t="n">
        <v>2</v>
      </c>
      <c r="D13" s="3" t="s">
        <v>117</v>
      </c>
      <c r="E13" s="4" t="n">
        <v>26</v>
      </c>
      <c r="F13" s="4" t="s">
        <v>116</v>
      </c>
      <c r="G13" s="3"/>
    </row>
    <row r="14" customFormat="false" ht="15" hidden="false" customHeight="true" outlineLevel="0" collapsed="false">
      <c r="A14" s="3" t="n">
        <v>13</v>
      </c>
      <c r="B14" s="4" t="n">
        <v>7</v>
      </c>
      <c r="C14" s="4" t="n">
        <v>3</v>
      </c>
      <c r="D14" s="3" t="s">
        <v>126</v>
      </c>
      <c r="E14" s="4" t="n">
        <v>28</v>
      </c>
      <c r="F14" s="4" t="s">
        <v>116</v>
      </c>
      <c r="G14" s="3"/>
    </row>
    <row r="15" customFormat="false" ht="15" hidden="false" customHeight="true" outlineLevel="0" collapsed="false">
      <c r="A15" s="3" t="n">
        <v>14</v>
      </c>
      <c r="B15" s="4" t="n">
        <v>7</v>
      </c>
      <c r="C15" s="4" t="n">
        <v>4</v>
      </c>
      <c r="D15" s="3" t="s">
        <v>127</v>
      </c>
      <c r="E15" s="4" t="n">
        <v>25</v>
      </c>
      <c r="F15" s="4" t="s">
        <v>116</v>
      </c>
      <c r="G15" s="3"/>
    </row>
    <row r="16" customFormat="false" ht="15" hidden="false" customHeight="true" outlineLevel="0" collapsed="false">
      <c r="A16" s="3" t="n">
        <v>15</v>
      </c>
      <c r="B16" s="4" t="n">
        <v>7</v>
      </c>
      <c r="C16" s="4" t="n">
        <v>5</v>
      </c>
      <c r="D16" s="3" t="s">
        <v>128</v>
      </c>
      <c r="E16" s="4" t="n">
        <v>20</v>
      </c>
      <c r="F16" s="4" t="s">
        <v>116</v>
      </c>
      <c r="G16" s="3"/>
    </row>
    <row r="17" customFormat="false" ht="15" hidden="false" customHeight="true" outlineLevel="0" collapsed="false">
      <c r="A17" s="3" t="n">
        <v>16</v>
      </c>
      <c r="B17" s="4" t="n">
        <v>10</v>
      </c>
      <c r="C17" s="4" t="n">
        <v>1</v>
      </c>
      <c r="D17" s="3" t="s">
        <v>129</v>
      </c>
      <c r="E17" s="4" t="n">
        <v>24</v>
      </c>
      <c r="F17" s="4" t="s">
        <v>116</v>
      </c>
      <c r="G17" s="3"/>
    </row>
    <row r="18" customFormat="false" ht="15" hidden="false" customHeight="true" outlineLevel="0" collapsed="false">
      <c r="A18" s="3" t="n">
        <v>17</v>
      </c>
      <c r="B18" s="4" t="n">
        <v>10</v>
      </c>
      <c r="C18" s="4" t="n">
        <v>2</v>
      </c>
      <c r="D18" s="3" t="s">
        <v>130</v>
      </c>
      <c r="E18" s="4" t="n">
        <v>18</v>
      </c>
      <c r="F18" s="4" t="s">
        <v>116</v>
      </c>
      <c r="G18" s="3"/>
    </row>
    <row r="19" customFormat="false" ht="15" hidden="false" customHeight="true" outlineLevel="0" collapsed="false">
      <c r="A19" s="3" t="n">
        <v>18</v>
      </c>
      <c r="B19" s="4" t="n">
        <v>10</v>
      </c>
      <c r="C19" s="4" t="n">
        <v>3</v>
      </c>
      <c r="D19" s="3" t="s">
        <v>131</v>
      </c>
      <c r="E19" s="4" t="n">
        <v>25</v>
      </c>
      <c r="F19" s="4" t="s">
        <v>116</v>
      </c>
      <c r="G19" s="3"/>
    </row>
    <row r="20" customFormat="false" ht="15" hidden="false" customHeight="true" outlineLevel="0" collapsed="false">
      <c r="A20" s="3" t="n">
        <v>19</v>
      </c>
      <c r="B20" s="4" t="n">
        <v>10</v>
      </c>
      <c r="C20" s="4" t="n">
        <v>4</v>
      </c>
      <c r="D20" s="3" t="s">
        <v>130</v>
      </c>
      <c r="E20" s="4" t="n">
        <v>30</v>
      </c>
      <c r="F20" s="4" t="s">
        <v>116</v>
      </c>
      <c r="G20" s="3"/>
    </row>
    <row r="21" customFormat="false" ht="15" hidden="false" customHeight="true" outlineLevel="0" collapsed="false">
      <c r="A21" s="3" t="n">
        <v>20</v>
      </c>
      <c r="B21" s="4" t="n">
        <v>10</v>
      </c>
      <c r="C21" s="4" t="n">
        <v>5</v>
      </c>
      <c r="D21" s="3" t="s">
        <v>132</v>
      </c>
      <c r="E21" s="4" t="n">
        <v>26</v>
      </c>
      <c r="F21" s="4" t="s">
        <v>116</v>
      </c>
      <c r="G21" s="3"/>
    </row>
    <row r="22" customFormat="false" ht="15" hidden="false" customHeight="true" outlineLevel="0" collapsed="false">
      <c r="A22" s="3" t="n">
        <v>21</v>
      </c>
      <c r="B22" s="4" t="n">
        <v>13</v>
      </c>
      <c r="C22" s="4" t="n">
        <v>1</v>
      </c>
      <c r="D22" s="3" t="s">
        <v>133</v>
      </c>
      <c r="E22" s="4" t="n">
        <v>18</v>
      </c>
      <c r="F22" s="4" t="s">
        <v>116</v>
      </c>
      <c r="G22" s="3"/>
    </row>
    <row r="23" customFormat="false" ht="15" hidden="false" customHeight="true" outlineLevel="0" collapsed="false">
      <c r="A23" s="3" t="n">
        <v>22</v>
      </c>
      <c r="B23" s="4" t="n">
        <v>13</v>
      </c>
      <c r="C23" s="4" t="n">
        <v>2</v>
      </c>
      <c r="D23" s="3" t="s">
        <v>134</v>
      </c>
      <c r="E23" s="4" t="n">
        <v>27</v>
      </c>
      <c r="F23" s="4" t="s">
        <v>116</v>
      </c>
      <c r="G23" s="3"/>
    </row>
    <row r="24" customFormat="false" ht="15" hidden="false" customHeight="true" outlineLevel="0" collapsed="false">
      <c r="A24" s="3" t="n">
        <v>23</v>
      </c>
      <c r="B24" s="4" t="n">
        <v>13</v>
      </c>
      <c r="C24" s="4" t="n">
        <v>3</v>
      </c>
      <c r="D24" s="3" t="s">
        <v>135</v>
      </c>
      <c r="E24" s="4" t="n">
        <v>28</v>
      </c>
      <c r="F24" s="4" t="s">
        <v>116</v>
      </c>
      <c r="G24" s="3"/>
    </row>
    <row r="25" customFormat="false" ht="15" hidden="false" customHeight="true" outlineLevel="0" collapsed="false">
      <c r="A25" s="3" t="n">
        <v>24</v>
      </c>
      <c r="B25" s="4" t="n">
        <v>13</v>
      </c>
      <c r="C25" s="4" t="n">
        <v>4</v>
      </c>
      <c r="D25" s="3" t="s">
        <v>136</v>
      </c>
      <c r="E25" s="4" t="n">
        <v>28</v>
      </c>
      <c r="F25" s="4" t="s">
        <v>116</v>
      </c>
      <c r="G25" s="3"/>
    </row>
    <row r="26" customFormat="false" ht="15" hidden="false" customHeight="true" outlineLevel="0" collapsed="false">
      <c r="A26" s="3" t="n">
        <v>25</v>
      </c>
      <c r="B26" s="4" t="n">
        <v>13</v>
      </c>
      <c r="C26" s="4" t="n">
        <v>5</v>
      </c>
      <c r="D26" s="3" t="s">
        <v>137</v>
      </c>
      <c r="E26" s="4" t="n">
        <v>30</v>
      </c>
      <c r="F26" s="4" t="s">
        <v>116</v>
      </c>
      <c r="G26" s="3"/>
    </row>
    <row r="27" customFormat="false" ht="15" hidden="false" customHeight="true" outlineLevel="0" collapsed="false">
      <c r="A27" s="3" t="n">
        <v>26</v>
      </c>
      <c r="B27" s="4" t="n">
        <v>3</v>
      </c>
      <c r="C27" s="4" t="n">
        <v>6</v>
      </c>
      <c r="D27" s="3" t="s">
        <v>138</v>
      </c>
      <c r="E27" s="4" t="n">
        <v>30</v>
      </c>
      <c r="F27" s="4" t="s">
        <v>116</v>
      </c>
      <c r="G27" s="3"/>
    </row>
    <row r="28" customFormat="false" ht="15" hidden="false" customHeight="true" outlineLevel="0" collapsed="false">
      <c r="A28" s="3" t="n">
        <v>27</v>
      </c>
      <c r="B28" s="4" t="n">
        <v>3</v>
      </c>
      <c r="C28" s="4" t="n">
        <v>7</v>
      </c>
      <c r="D28" s="3" t="s">
        <v>139</v>
      </c>
      <c r="E28" s="4" t="n">
        <v>27</v>
      </c>
      <c r="F28" s="4" t="s">
        <v>116</v>
      </c>
      <c r="G28" s="3"/>
    </row>
    <row r="29" customFormat="false" ht="15" hidden="false" customHeight="true" outlineLevel="0" collapsed="false">
      <c r="A29" s="3" t="n">
        <v>28</v>
      </c>
      <c r="B29" s="4" t="n">
        <v>3</v>
      </c>
      <c r="C29" s="4" t="n">
        <v>8</v>
      </c>
      <c r="D29" s="3" t="s">
        <v>140</v>
      </c>
      <c r="E29" s="4" t="n">
        <v>29</v>
      </c>
      <c r="F29" s="4" t="s">
        <v>116</v>
      </c>
      <c r="G29" s="3"/>
    </row>
    <row r="30" customFormat="false" ht="15" hidden="false" customHeight="true" outlineLevel="0" collapsed="false">
      <c r="A30" s="3" t="n">
        <v>29</v>
      </c>
      <c r="B30" s="4" t="n">
        <v>3</v>
      </c>
      <c r="C30" s="4" t="n">
        <v>9</v>
      </c>
      <c r="D30" s="3" t="s">
        <v>141</v>
      </c>
      <c r="E30" s="4" t="n">
        <v>25</v>
      </c>
      <c r="F30" s="4" t="s">
        <v>116</v>
      </c>
      <c r="G30" s="3"/>
    </row>
    <row r="31" customFormat="false" ht="15" hidden="false" customHeight="true" outlineLevel="0" collapsed="false">
      <c r="A31" s="3" t="n">
        <v>30</v>
      </c>
      <c r="B31" s="4" t="n">
        <v>3</v>
      </c>
      <c r="C31" s="4" t="n">
        <v>10</v>
      </c>
      <c r="D31" s="3" t="s">
        <v>141</v>
      </c>
      <c r="E31" s="4" t="n">
        <v>24</v>
      </c>
      <c r="F31" s="4" t="s">
        <v>116</v>
      </c>
      <c r="G31" s="3"/>
    </row>
    <row r="32" customFormat="false" ht="15" hidden="false" customHeight="true" outlineLevel="0" collapsed="false">
      <c r="A32" s="3" t="n">
        <v>31</v>
      </c>
      <c r="B32" s="4" t="n">
        <v>4</v>
      </c>
      <c r="C32" s="4" t="n">
        <v>6</v>
      </c>
      <c r="D32" s="3" t="s">
        <v>142</v>
      </c>
      <c r="E32" s="4" t="n">
        <v>30</v>
      </c>
      <c r="F32" s="4" t="s">
        <v>116</v>
      </c>
      <c r="G32" s="3"/>
    </row>
    <row r="33" customFormat="false" ht="15" hidden="false" customHeight="true" outlineLevel="0" collapsed="false">
      <c r="A33" s="3" t="n">
        <v>32</v>
      </c>
      <c r="B33" s="4" t="n">
        <v>4</v>
      </c>
      <c r="C33" s="4" t="n">
        <v>7</v>
      </c>
      <c r="D33" s="3" t="s">
        <v>143</v>
      </c>
      <c r="E33" s="4" t="n">
        <v>27</v>
      </c>
      <c r="F33" s="4" t="s">
        <v>116</v>
      </c>
      <c r="G33" s="3"/>
    </row>
    <row r="34" customFormat="false" ht="15" hidden="false" customHeight="true" outlineLevel="0" collapsed="false">
      <c r="A34" s="3" t="n">
        <v>33</v>
      </c>
      <c r="B34" s="4" t="n">
        <v>4</v>
      </c>
      <c r="C34" s="4" t="n">
        <v>8</v>
      </c>
      <c r="D34" s="3" t="s">
        <v>144</v>
      </c>
      <c r="E34" s="4" t="n">
        <v>27</v>
      </c>
      <c r="F34" s="4" t="s">
        <v>116</v>
      </c>
      <c r="G34" s="3"/>
    </row>
    <row r="35" customFormat="false" ht="15" hidden="false" customHeight="true" outlineLevel="0" collapsed="false">
      <c r="A35" s="3" t="n">
        <v>34</v>
      </c>
      <c r="B35" s="4" t="n">
        <v>4</v>
      </c>
      <c r="C35" s="4" t="n">
        <v>9</v>
      </c>
      <c r="D35" s="3" t="s">
        <v>145</v>
      </c>
      <c r="E35" s="4" t="n">
        <v>23</v>
      </c>
      <c r="F35" s="4" t="s">
        <v>116</v>
      </c>
      <c r="G35" s="3"/>
    </row>
    <row r="36" customFormat="false" ht="15" hidden="false" customHeight="true" outlineLevel="0" collapsed="false">
      <c r="A36" s="3" t="n">
        <v>35</v>
      </c>
      <c r="B36" s="4" t="n">
        <v>4</v>
      </c>
      <c r="C36" s="4" t="n">
        <v>10</v>
      </c>
      <c r="D36" s="3" t="s">
        <v>146</v>
      </c>
      <c r="E36" s="4" t="n">
        <v>23</v>
      </c>
      <c r="F36" s="4" t="s">
        <v>116</v>
      </c>
      <c r="G36" s="3"/>
    </row>
    <row r="37" customFormat="false" ht="15" hidden="false" customHeight="true" outlineLevel="0" collapsed="false">
      <c r="A37" s="3" t="n">
        <v>36</v>
      </c>
      <c r="B37" s="4" t="n">
        <v>8</v>
      </c>
      <c r="C37" s="4" t="n">
        <v>6</v>
      </c>
      <c r="D37" s="3" t="s">
        <v>147</v>
      </c>
      <c r="E37" s="4" t="n">
        <v>24</v>
      </c>
      <c r="F37" s="4" t="s">
        <v>116</v>
      </c>
      <c r="G37" s="3"/>
    </row>
    <row r="38" customFormat="false" ht="15" hidden="false" customHeight="true" outlineLevel="0" collapsed="false">
      <c r="A38" s="3" t="n">
        <v>37</v>
      </c>
      <c r="B38" s="4" t="n">
        <v>8</v>
      </c>
      <c r="C38" s="4" t="n">
        <v>7</v>
      </c>
      <c r="D38" s="3" t="s">
        <v>135</v>
      </c>
      <c r="E38" s="4" t="n">
        <v>19</v>
      </c>
      <c r="F38" s="4" t="s">
        <v>116</v>
      </c>
      <c r="G38" s="3"/>
    </row>
    <row r="39" customFormat="false" ht="15" hidden="false" customHeight="true" outlineLevel="0" collapsed="false">
      <c r="A39" s="3" t="n">
        <v>38</v>
      </c>
      <c r="B39" s="4" t="n">
        <v>8</v>
      </c>
      <c r="C39" s="4" t="n">
        <v>8</v>
      </c>
      <c r="D39" s="3" t="s">
        <v>148</v>
      </c>
      <c r="E39" s="4" t="n">
        <v>27</v>
      </c>
      <c r="F39" s="4" t="s">
        <v>116</v>
      </c>
      <c r="G39" s="3"/>
    </row>
    <row r="40" customFormat="false" ht="15" hidden="false" customHeight="true" outlineLevel="0" collapsed="false">
      <c r="A40" s="3" t="n">
        <v>39</v>
      </c>
      <c r="B40" s="4" t="n">
        <v>8</v>
      </c>
      <c r="C40" s="4" t="n">
        <v>9</v>
      </c>
      <c r="D40" s="3" t="s">
        <v>149</v>
      </c>
      <c r="E40" s="4" t="n">
        <v>29</v>
      </c>
      <c r="F40" s="4" t="s">
        <v>116</v>
      </c>
      <c r="G40" s="3"/>
    </row>
    <row r="41" customFormat="false" ht="15" hidden="false" customHeight="true" outlineLevel="0" collapsed="false">
      <c r="A41" s="3" t="n">
        <v>40</v>
      </c>
      <c r="B41" s="4" t="n">
        <v>8</v>
      </c>
      <c r="C41" s="4" t="n">
        <v>10</v>
      </c>
      <c r="D41" s="3" t="s">
        <v>150</v>
      </c>
      <c r="E41" s="4" t="n">
        <v>24</v>
      </c>
      <c r="F41" s="4" t="s">
        <v>116</v>
      </c>
      <c r="G41" s="3"/>
    </row>
    <row r="42" customFormat="false" ht="15" hidden="false" customHeight="true" outlineLevel="0" collapsed="false">
      <c r="A42" s="3" t="n">
        <v>41</v>
      </c>
      <c r="B42" s="4" t="n">
        <v>11</v>
      </c>
      <c r="C42" s="4" t="n">
        <v>6</v>
      </c>
      <c r="D42" s="3" t="s">
        <v>150</v>
      </c>
      <c r="E42" s="4" t="n">
        <v>21</v>
      </c>
      <c r="F42" s="4" t="s">
        <v>116</v>
      </c>
      <c r="G42" s="3"/>
    </row>
    <row r="43" customFormat="false" ht="15" hidden="false" customHeight="true" outlineLevel="0" collapsed="false">
      <c r="A43" s="3" t="n">
        <v>42</v>
      </c>
      <c r="B43" s="4" t="n">
        <v>11</v>
      </c>
      <c r="C43" s="4" t="n">
        <v>7</v>
      </c>
      <c r="D43" s="3" t="s">
        <v>151</v>
      </c>
      <c r="E43" s="4" t="n">
        <v>27</v>
      </c>
      <c r="F43" s="4" t="s">
        <v>116</v>
      </c>
      <c r="G43" s="3"/>
    </row>
    <row r="44" customFormat="false" ht="15" hidden="false" customHeight="true" outlineLevel="0" collapsed="false">
      <c r="A44" s="3" t="n">
        <v>43</v>
      </c>
      <c r="B44" s="4" t="n">
        <v>11</v>
      </c>
      <c r="C44" s="4" t="n">
        <v>8</v>
      </c>
      <c r="D44" s="3" t="s">
        <v>152</v>
      </c>
      <c r="E44" s="4" t="n">
        <v>23</v>
      </c>
      <c r="F44" s="4" t="s">
        <v>116</v>
      </c>
      <c r="G44" s="3"/>
    </row>
    <row r="45" customFormat="false" ht="15" hidden="false" customHeight="true" outlineLevel="0" collapsed="false">
      <c r="A45" s="3" t="n">
        <v>44</v>
      </c>
      <c r="B45" s="4" t="n">
        <v>11</v>
      </c>
      <c r="C45" s="4" t="n">
        <v>9</v>
      </c>
      <c r="D45" s="3" t="s">
        <v>153</v>
      </c>
      <c r="E45" s="4" t="n">
        <v>24</v>
      </c>
      <c r="F45" s="4" t="s">
        <v>116</v>
      </c>
      <c r="G45" s="3"/>
    </row>
    <row r="46" customFormat="false" ht="15" hidden="false" customHeight="true" outlineLevel="0" collapsed="false">
      <c r="A46" s="3" t="n">
        <v>45</v>
      </c>
      <c r="B46" s="4" t="n">
        <v>11</v>
      </c>
      <c r="C46" s="4" t="n">
        <v>10</v>
      </c>
      <c r="D46" s="3" t="s">
        <v>154</v>
      </c>
      <c r="E46" s="4" t="n">
        <v>26</v>
      </c>
      <c r="F46" s="4" t="s">
        <v>116</v>
      </c>
      <c r="G46" s="3"/>
    </row>
    <row r="47" customFormat="false" ht="15" hidden="false" customHeight="true" outlineLevel="0" collapsed="false">
      <c r="A47" s="3" t="n">
        <v>46</v>
      </c>
      <c r="B47" s="4" t="n">
        <v>14</v>
      </c>
      <c r="C47" s="4" t="n">
        <v>6</v>
      </c>
      <c r="D47" s="3" t="s">
        <v>155</v>
      </c>
      <c r="E47" s="4" t="n">
        <v>28</v>
      </c>
      <c r="F47" s="4" t="s">
        <v>116</v>
      </c>
      <c r="G47" s="3"/>
    </row>
    <row r="48" customFormat="false" ht="15" hidden="false" customHeight="true" outlineLevel="0" collapsed="false">
      <c r="A48" s="3" t="n">
        <v>47</v>
      </c>
      <c r="B48" s="4" t="n">
        <v>14</v>
      </c>
      <c r="C48" s="4" t="n">
        <v>7</v>
      </c>
      <c r="D48" s="3" t="s">
        <v>156</v>
      </c>
      <c r="E48" s="4" t="n">
        <v>23</v>
      </c>
      <c r="F48" s="4" t="s">
        <v>116</v>
      </c>
      <c r="G48" s="3"/>
    </row>
    <row r="49" customFormat="false" ht="15" hidden="false" customHeight="true" outlineLevel="0" collapsed="false">
      <c r="A49" s="3" t="n">
        <v>48</v>
      </c>
      <c r="B49" s="4" t="n">
        <v>14</v>
      </c>
      <c r="C49" s="4" t="n">
        <v>8</v>
      </c>
      <c r="D49" s="3" t="s">
        <v>157</v>
      </c>
      <c r="E49" s="4" t="n">
        <v>27</v>
      </c>
      <c r="F49" s="4" t="s">
        <v>116</v>
      </c>
      <c r="G49" s="3"/>
    </row>
    <row r="50" customFormat="false" ht="15" hidden="false" customHeight="true" outlineLevel="0" collapsed="false">
      <c r="A50" s="3" t="n">
        <v>49</v>
      </c>
      <c r="B50" s="4" t="n">
        <v>14</v>
      </c>
      <c r="C50" s="4" t="n">
        <v>9</v>
      </c>
      <c r="D50" s="3" t="s">
        <v>158</v>
      </c>
      <c r="E50" s="4" t="n">
        <v>23</v>
      </c>
      <c r="F50" s="4" t="s">
        <v>116</v>
      </c>
      <c r="G50" s="3"/>
    </row>
    <row r="51" customFormat="false" ht="15" hidden="false" customHeight="true" outlineLevel="0" collapsed="false">
      <c r="A51" s="3" t="n">
        <v>50</v>
      </c>
      <c r="B51" s="4" t="n">
        <v>14</v>
      </c>
      <c r="C51" s="4" t="n">
        <v>10</v>
      </c>
      <c r="D51" s="3" t="s">
        <v>159</v>
      </c>
      <c r="E51" s="4" t="n">
        <v>29</v>
      </c>
      <c r="F51" s="4" t="s">
        <v>116</v>
      </c>
      <c r="G51" s="3"/>
    </row>
    <row r="52" customFormat="false" ht="15" hidden="false" customHeight="true" outlineLevel="0" collapsed="false">
      <c r="A52" s="3" t="n">
        <v>51</v>
      </c>
      <c r="B52" s="4" t="n">
        <v>5</v>
      </c>
      <c r="C52" s="4" t="n">
        <v>11</v>
      </c>
      <c r="D52" s="3" t="s">
        <v>160</v>
      </c>
      <c r="E52" s="4" t="n">
        <v>30</v>
      </c>
      <c r="F52" s="4" t="s">
        <v>161</v>
      </c>
      <c r="G52" s="3" t="s">
        <v>162</v>
      </c>
    </row>
    <row r="53" customFormat="false" ht="15" hidden="false" customHeight="true" outlineLevel="0" collapsed="false">
      <c r="A53" s="3" t="n">
        <v>52</v>
      </c>
      <c r="B53" s="4" t="n">
        <v>5</v>
      </c>
      <c r="C53" s="4" t="n">
        <v>12</v>
      </c>
      <c r="D53" s="3" t="s">
        <v>133</v>
      </c>
      <c r="E53" s="4" t="n">
        <v>30</v>
      </c>
      <c r="F53" s="4" t="s">
        <v>116</v>
      </c>
      <c r="G53" s="3"/>
    </row>
    <row r="54" customFormat="false" ht="15" hidden="false" customHeight="true" outlineLevel="0" collapsed="false">
      <c r="A54" s="3" t="n">
        <v>53</v>
      </c>
      <c r="B54" s="4" t="n">
        <v>5</v>
      </c>
      <c r="C54" s="4" t="n">
        <v>13</v>
      </c>
      <c r="D54" s="3" t="s">
        <v>163</v>
      </c>
      <c r="E54" s="4" t="n">
        <v>28</v>
      </c>
      <c r="F54" s="4" t="s">
        <v>116</v>
      </c>
      <c r="G54" s="3"/>
    </row>
    <row r="55" customFormat="false" ht="15" hidden="false" customHeight="true" outlineLevel="0" collapsed="false">
      <c r="A55" s="3" t="n">
        <v>54</v>
      </c>
      <c r="B55" s="4" t="n">
        <v>5</v>
      </c>
      <c r="C55" s="4" t="n">
        <v>14</v>
      </c>
      <c r="D55" s="3" t="s">
        <v>164</v>
      </c>
      <c r="E55" s="4" t="n">
        <v>25</v>
      </c>
      <c r="F55" s="4" t="s">
        <v>116</v>
      </c>
      <c r="G55" s="3"/>
    </row>
    <row r="56" customFormat="false" ht="15" hidden="false" customHeight="true" outlineLevel="0" collapsed="false">
      <c r="A56" s="3" t="n">
        <v>55</v>
      </c>
      <c r="B56" s="4" t="n">
        <v>5</v>
      </c>
      <c r="C56" s="4" t="n">
        <v>15</v>
      </c>
      <c r="D56" s="3" t="s">
        <v>126</v>
      </c>
      <c r="E56" s="4" t="n">
        <v>22</v>
      </c>
      <c r="F56" s="4" t="s">
        <v>116</v>
      </c>
      <c r="G56" s="3"/>
    </row>
    <row r="57" customFormat="false" ht="15" hidden="false" customHeight="true" outlineLevel="0" collapsed="false">
      <c r="A57" s="3" t="n">
        <v>56</v>
      </c>
      <c r="B57" s="4" t="n">
        <v>6</v>
      </c>
      <c r="C57" s="4" t="n">
        <v>11</v>
      </c>
      <c r="D57" s="3" t="s">
        <v>165</v>
      </c>
      <c r="E57" s="4" t="n">
        <v>26</v>
      </c>
      <c r="F57" s="4" t="s">
        <v>116</v>
      </c>
      <c r="G57" s="3"/>
    </row>
    <row r="58" customFormat="false" ht="15" hidden="false" customHeight="true" outlineLevel="0" collapsed="false">
      <c r="A58" s="3" t="n">
        <v>57</v>
      </c>
      <c r="B58" s="4" t="n">
        <v>6</v>
      </c>
      <c r="C58" s="4" t="n">
        <v>12</v>
      </c>
      <c r="D58" s="3" t="s">
        <v>166</v>
      </c>
      <c r="E58" s="4" t="n">
        <v>20</v>
      </c>
      <c r="F58" s="4" t="s">
        <v>116</v>
      </c>
      <c r="G58" s="3"/>
    </row>
    <row r="59" customFormat="false" ht="15" hidden="false" customHeight="true" outlineLevel="0" collapsed="false">
      <c r="A59" s="3" t="n">
        <v>58</v>
      </c>
      <c r="B59" s="4" t="n">
        <v>6</v>
      </c>
      <c r="C59" s="4" t="n">
        <v>13</v>
      </c>
      <c r="D59" s="3" t="s">
        <v>144</v>
      </c>
      <c r="E59" s="4" t="n">
        <v>20</v>
      </c>
      <c r="F59" s="4" t="s">
        <v>116</v>
      </c>
      <c r="G59" s="3"/>
    </row>
    <row r="60" customFormat="false" ht="15" hidden="false" customHeight="true" outlineLevel="0" collapsed="false">
      <c r="A60" s="3" t="n">
        <v>59</v>
      </c>
      <c r="B60" s="4" t="n">
        <v>6</v>
      </c>
      <c r="C60" s="4" t="n">
        <v>14</v>
      </c>
      <c r="D60" s="3" t="s">
        <v>167</v>
      </c>
      <c r="E60" s="4" t="n">
        <v>29</v>
      </c>
      <c r="F60" s="4" t="s">
        <v>116</v>
      </c>
      <c r="G60" s="3"/>
    </row>
    <row r="61" customFormat="false" ht="15" hidden="false" customHeight="true" outlineLevel="0" collapsed="false">
      <c r="A61" s="3" t="n">
        <v>60</v>
      </c>
      <c r="B61" s="4" t="n">
        <v>6</v>
      </c>
      <c r="C61" s="4" t="n">
        <v>15</v>
      </c>
      <c r="D61" s="3" t="s">
        <v>168</v>
      </c>
      <c r="E61" s="4" t="n">
        <v>29</v>
      </c>
      <c r="F61" s="4" t="s">
        <v>116</v>
      </c>
      <c r="G61" s="3"/>
    </row>
    <row r="62" customFormat="false" ht="15" hidden="false" customHeight="true" outlineLevel="0" collapsed="false">
      <c r="A62" s="3" t="n">
        <v>61</v>
      </c>
      <c r="B62" s="4" t="n">
        <v>9</v>
      </c>
      <c r="C62" s="4" t="n">
        <v>11</v>
      </c>
      <c r="D62" s="3" t="s">
        <v>169</v>
      </c>
      <c r="E62" s="4" t="n">
        <v>24</v>
      </c>
      <c r="F62" s="4" t="s">
        <v>116</v>
      </c>
      <c r="G62" s="3"/>
    </row>
    <row r="63" customFormat="false" ht="15" hidden="false" customHeight="true" outlineLevel="0" collapsed="false">
      <c r="A63" s="3" t="n">
        <v>62</v>
      </c>
      <c r="B63" s="4" t="n">
        <v>9</v>
      </c>
      <c r="C63" s="4" t="n">
        <v>12</v>
      </c>
      <c r="D63" s="3" t="s">
        <v>170</v>
      </c>
      <c r="E63" s="4" t="n">
        <v>28</v>
      </c>
      <c r="F63" s="4" t="s">
        <v>116</v>
      </c>
      <c r="G63" s="3"/>
    </row>
    <row r="64" customFormat="false" ht="15" hidden="false" customHeight="true" outlineLevel="0" collapsed="false">
      <c r="A64" s="3" t="n">
        <v>63</v>
      </c>
      <c r="B64" s="4" t="n">
        <v>9</v>
      </c>
      <c r="C64" s="4" t="n">
        <v>13</v>
      </c>
      <c r="D64" s="3" t="s">
        <v>171</v>
      </c>
      <c r="E64" s="4" t="n">
        <v>27</v>
      </c>
      <c r="F64" s="4" t="s">
        <v>116</v>
      </c>
      <c r="G64" s="3"/>
    </row>
    <row r="65" customFormat="false" ht="15" hidden="false" customHeight="true" outlineLevel="0" collapsed="false">
      <c r="A65" s="3" t="n">
        <v>64</v>
      </c>
      <c r="B65" s="4" t="n">
        <v>9</v>
      </c>
      <c r="C65" s="4" t="n">
        <v>14</v>
      </c>
      <c r="D65" s="3" t="s">
        <v>172</v>
      </c>
      <c r="E65" s="4" t="n">
        <v>27</v>
      </c>
      <c r="F65" s="4" t="s">
        <v>116</v>
      </c>
      <c r="G65" s="3"/>
    </row>
    <row r="66" customFormat="false" ht="15" hidden="false" customHeight="true" outlineLevel="0" collapsed="false">
      <c r="A66" s="3" t="n">
        <v>65</v>
      </c>
      <c r="B66" s="4" t="n">
        <v>9</v>
      </c>
      <c r="C66" s="4" t="n">
        <v>15</v>
      </c>
      <c r="D66" s="3" t="s">
        <v>173</v>
      </c>
      <c r="E66" s="4" t="n">
        <v>22</v>
      </c>
      <c r="F66" s="4" t="s">
        <v>116</v>
      </c>
      <c r="G66" s="3"/>
    </row>
    <row r="67" customFormat="false" ht="15" hidden="false" customHeight="true" outlineLevel="0" collapsed="false">
      <c r="A67" s="3" t="n">
        <v>66</v>
      </c>
      <c r="B67" s="4" t="n">
        <v>12</v>
      </c>
      <c r="C67" s="4" t="n">
        <v>11</v>
      </c>
      <c r="D67" s="3" t="s">
        <v>174</v>
      </c>
      <c r="E67" s="4" t="n">
        <v>28</v>
      </c>
      <c r="F67" s="4" t="s">
        <v>116</v>
      </c>
      <c r="G67" s="3"/>
    </row>
    <row r="68" customFormat="false" ht="15" hidden="false" customHeight="true" outlineLevel="0" collapsed="false">
      <c r="A68" s="3" t="n">
        <v>67</v>
      </c>
      <c r="B68" s="4" t="n">
        <v>12</v>
      </c>
      <c r="C68" s="4" t="n">
        <v>12</v>
      </c>
      <c r="D68" s="3" t="s">
        <v>146</v>
      </c>
      <c r="E68" s="4" t="n">
        <v>29</v>
      </c>
      <c r="F68" s="4" t="s">
        <v>116</v>
      </c>
      <c r="G68" s="3"/>
    </row>
    <row r="69" customFormat="false" ht="15" hidden="false" customHeight="true" outlineLevel="0" collapsed="false">
      <c r="A69" s="3" t="n">
        <v>68</v>
      </c>
      <c r="B69" s="4" t="n">
        <v>12</v>
      </c>
      <c r="C69" s="4" t="n">
        <v>13</v>
      </c>
      <c r="D69" s="3" t="s">
        <v>175</v>
      </c>
      <c r="E69" s="4" t="n">
        <v>30</v>
      </c>
      <c r="F69" s="4" t="s">
        <v>116</v>
      </c>
      <c r="G69" s="3"/>
    </row>
    <row r="70" customFormat="false" ht="15" hidden="false" customHeight="true" outlineLevel="0" collapsed="false">
      <c r="A70" s="3" t="n">
        <v>69</v>
      </c>
      <c r="B70" s="4" t="n">
        <v>12</v>
      </c>
      <c r="C70" s="4" t="n">
        <v>14</v>
      </c>
      <c r="D70" s="3" t="s">
        <v>176</v>
      </c>
      <c r="E70" s="4" t="n">
        <v>20</v>
      </c>
      <c r="F70" s="4" t="s">
        <v>116</v>
      </c>
      <c r="G70" s="3"/>
    </row>
    <row r="71" customFormat="false" ht="15" hidden="false" customHeight="true" outlineLevel="0" collapsed="false">
      <c r="A71" s="3" t="n">
        <v>70</v>
      </c>
      <c r="B71" s="4" t="n">
        <v>12</v>
      </c>
      <c r="C71" s="4" t="n">
        <v>15</v>
      </c>
      <c r="D71" s="3" t="s">
        <v>135</v>
      </c>
      <c r="E71" s="4" t="n">
        <v>26</v>
      </c>
      <c r="F71" s="4" t="s">
        <v>116</v>
      </c>
      <c r="G71" s="3"/>
    </row>
    <row r="72" customFormat="false" ht="15" hidden="false" customHeight="true" outlineLevel="0" collapsed="false">
      <c r="A72" s="3" t="n">
        <v>71</v>
      </c>
      <c r="B72" s="4" t="n">
        <v>15</v>
      </c>
      <c r="C72" s="4" t="n">
        <v>11</v>
      </c>
      <c r="D72" s="3" t="s">
        <v>177</v>
      </c>
      <c r="E72" s="4" t="n">
        <v>24</v>
      </c>
      <c r="F72" s="4" t="s">
        <v>116</v>
      </c>
      <c r="G72" s="3"/>
    </row>
    <row r="73" customFormat="false" ht="15" hidden="false" customHeight="true" outlineLevel="0" collapsed="false">
      <c r="A73" s="3" t="n">
        <v>72</v>
      </c>
      <c r="B73" s="4" t="n">
        <v>15</v>
      </c>
      <c r="C73" s="4" t="n">
        <v>12</v>
      </c>
      <c r="D73" s="3" t="s">
        <v>178</v>
      </c>
      <c r="E73" s="4" t="n">
        <v>30</v>
      </c>
      <c r="F73" s="4" t="s">
        <v>161</v>
      </c>
      <c r="G73" s="3" t="s">
        <v>162</v>
      </c>
    </row>
    <row r="74" customFormat="false" ht="15" hidden="false" customHeight="true" outlineLevel="0" collapsed="false">
      <c r="A74" s="3" t="n">
        <v>73</v>
      </c>
      <c r="B74" s="4" t="n">
        <v>15</v>
      </c>
      <c r="C74" s="4" t="n">
        <v>13</v>
      </c>
      <c r="D74" s="3" t="s">
        <v>179</v>
      </c>
      <c r="E74" s="4" t="n">
        <v>27</v>
      </c>
      <c r="F74" s="4" t="s">
        <v>116</v>
      </c>
      <c r="G74" s="3"/>
    </row>
    <row r="75" customFormat="false" ht="15" hidden="false" customHeight="true" outlineLevel="0" collapsed="false">
      <c r="A75" s="3" t="n">
        <v>74</v>
      </c>
      <c r="B75" s="4" t="n">
        <v>15</v>
      </c>
      <c r="C75" s="4" t="n">
        <v>14</v>
      </c>
      <c r="D75" s="3" t="s">
        <v>180</v>
      </c>
      <c r="E75" s="4" t="n">
        <v>20</v>
      </c>
      <c r="F75" s="4" t="s">
        <v>116</v>
      </c>
      <c r="G75" s="3"/>
    </row>
    <row r="76" customFormat="false" ht="15" hidden="false" customHeight="true" outlineLevel="0" collapsed="false">
      <c r="A76" s="3" t="n">
        <v>75</v>
      </c>
      <c r="B76" s="4" t="n">
        <v>15</v>
      </c>
      <c r="C76" s="4" t="n">
        <v>15</v>
      </c>
      <c r="D76" s="3" t="s">
        <v>181</v>
      </c>
      <c r="E76" s="4" t="n">
        <v>25</v>
      </c>
      <c r="F76" s="4" t="s">
        <v>116</v>
      </c>
      <c r="G76" s="3"/>
    </row>
  </sheetData>
  <autoFilter ref="A1:G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35"/>
  </cols>
  <sheetData>
    <row r="1" customFormat="false" ht="15" hidden="false" customHeight="true" outlineLevel="0" collapsed="false">
      <c r="A1" s="2" t="s">
        <v>182</v>
      </c>
      <c r="B1" s="2" t="s">
        <v>183</v>
      </c>
      <c r="C1" s="2" t="s">
        <v>184</v>
      </c>
    </row>
    <row r="2" customFormat="false" ht="15" hidden="false" customHeight="true" outlineLevel="0" collapsed="false">
      <c r="A2" s="3" t="s">
        <v>185</v>
      </c>
      <c r="B2" s="3" t="n">
        <f aca="false">COUNTA(Studenti!A2:A16)</f>
        <v>15</v>
      </c>
      <c r="C2" s="4"/>
    </row>
    <row r="3" customFormat="false" ht="15" hidden="false" customHeight="true" outlineLevel="0" collapsed="false">
      <c r="A3" s="3" t="s">
        <v>186</v>
      </c>
      <c r="B3" s="3" t="n">
        <f aca="false">COUNTA(Corsi!A2:A4)</f>
        <v>3</v>
      </c>
      <c r="C3" s="4"/>
    </row>
    <row r="4" customFormat="false" ht="15" hidden="false" customHeight="true" outlineLevel="0" collapsed="false">
      <c r="A4" s="3" t="s">
        <v>187</v>
      </c>
      <c r="B4" s="3" t="n">
        <f aca="false">COUNTA(Esami!A2:A126)</f>
        <v>75</v>
      </c>
      <c r="C4" s="4"/>
    </row>
    <row r="5" customFormat="false" ht="15" hidden="false" customHeight="true" outlineLevel="0" collapsed="false">
      <c r="A5" s="3" t="s">
        <v>188</v>
      </c>
      <c r="B5" s="5" t="n">
        <f aca="false">AVERAGE(Esami!E2:E126)</f>
        <v>25.3333333333333</v>
      </c>
      <c r="C5" s="4"/>
    </row>
    <row r="6" customFormat="false" ht="15" hidden="false" customHeight="true" outlineLevel="0" collapsed="false">
      <c r="A6" s="3" t="s">
        <v>189</v>
      </c>
      <c r="B6" s="3" t="n">
        <f aca="false">MAX(Esami!E2:E126)</f>
        <v>30</v>
      </c>
      <c r="C6" s="4"/>
    </row>
    <row r="7" customFormat="false" ht="15" hidden="false" customHeight="true" outlineLevel="0" collapsed="false">
      <c r="A7" s="3" t="s">
        <v>190</v>
      </c>
      <c r="B7" s="3" t="n">
        <f aca="false">MIN(Esami!E2:E126)</f>
        <v>18</v>
      </c>
      <c r="C7" s="4"/>
    </row>
    <row r="8" customFormat="false" ht="15" hidden="false" customHeight="true" outlineLevel="0" collapsed="false">
      <c r="A8" s="3" t="s">
        <v>191</v>
      </c>
      <c r="B8" s="3" t="n">
        <f aca="false">COUNTIF(Esami!F2:F126,"Sì")</f>
        <v>2</v>
      </c>
      <c r="C8" s="4"/>
    </row>
    <row r="9" customFormat="false" ht="15" hidden="false" customHeight="true" outlineLevel="0" collapsed="false">
      <c r="A9" s="3" t="s">
        <v>192</v>
      </c>
      <c r="B9" s="5" t="n">
        <f aca="false">IF(B4=0,0,B8/B4*100)</f>
        <v>2.66666666666667</v>
      </c>
      <c r="C9" s="3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2026-02-06T14:50:33Z</dcterms:created>
  <dc:creator>openpyxl</dc:creator>
  <dc:description/>
  <dc:language>en-US</dc:language>
  <cp:lastModifiedBy/>
  <dcterms:modified xsi:type="dcterms:W3CDTF">2026-02-06T14:50:50Z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
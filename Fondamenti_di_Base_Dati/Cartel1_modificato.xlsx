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 of countries and inhabited" sheetId="1" state="visible" r:id="rId3"/>
    <sheet name="Foglio1" sheetId="2" state="visible" r:id="rId4"/>
  </sheets>
  <definedNames>
    <definedName function="false" hidden="true" localSheetId="0" name="DatiEsterni_1" vbProcedure="false">'List of countries and inhabited'!$A$1:$F$240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<sst xmlns="http://schemas.openxmlformats.org/spreadsheetml/2006/main" count="1201" uniqueCount="706">
  <si>
    <t xml:space="preserve">Lista Paesi per Popolazione (Ordine Decrescente)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</si>
  <si>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</si>
  <si>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</si>
  <si>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</si>
  <si>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</si>
  <si>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</si>
  <si>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</si>
  <si>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</si>
  <si>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Country or territory</t>
  </si>
  <si>
    <t xml:space="preserve">Population(1 July 2022)</t>
  </si>
  <si>
    <t xml:space="preserve">Population(1 July 2023)</t>
  </si>
  <si>
    <t xml:space="preserve">Change(%)</t>
  </si>
  <si>
    <t xml:space="preserve">UN continentalregion[1]</t>
  </si>
  <si>
    <t xml:space="preserve">UN statisticalsubregion[1]</t>
  </si>
  <si>
    <t xml:space="preserve">% del totale mondiale</t>
  </si>
  <si>
    <t xml:space="preserve">Ordine Decrescente</t>
  </si>
  <si>
    <t xml:space="preserve">India</t>
  </si>
  <si>
    <t xml:space="preserve">1,425,423,212</t>
  </si>
  <si>
    <t xml:space="preserve">+0.89%</t>
  </si>
  <si>
    <t xml:space="preserve">Asia</t>
  </si>
  <si>
    <t xml:space="preserve">Southern Asia</t>
  </si>
  <si>
    <t xml:space="preserve">China[a]</t>
  </si>
  <si>
    <t xml:space="preserve">1,425,179,569</t>
  </si>
  <si>
    <t xml:space="preserve">−0.18%</t>
  </si>
  <si>
    <t xml:space="preserve">Eastern Asia</t>
  </si>
  <si>
    <t xml:space="preserve">United States</t>
  </si>
  <si>
    <t xml:space="preserve">341,534,046</t>
  </si>
  <si>
    <t xml:space="preserve">+0.57%</t>
  </si>
  <si>
    <t xml:space="preserve">Americas</t>
  </si>
  <si>
    <t xml:space="preserve">Northern America</t>
  </si>
  <si>
    <t xml:space="preserve">Indonesia</t>
  </si>
  <si>
    <t xml:space="preserve">278,830,529</t>
  </si>
  <si>
    <t xml:space="preserve">+0.85%</t>
  </si>
  <si>
    <t xml:space="preserve">South-eastern Asia</t>
  </si>
  <si>
    <t xml:space="preserve">Pakistan</t>
  </si>
  <si>
    <t xml:space="preserve">243,700,667</t>
  </si>
  <si>
    <t xml:space="preserve">+1.56%</t>
  </si>
  <si>
    <t xml:space="preserve">Nigeria</t>
  </si>
  <si>
    <t xml:space="preserve">223,150,896</t>
  </si>
  <si>
    <t xml:space="preserve">+2.12%</t>
  </si>
  <si>
    <t xml:space="preserve">Africa</t>
  </si>
  <si>
    <t xml:space="preserve">Western Africa</t>
  </si>
  <si>
    <t xml:space="preserve">Brazil</t>
  </si>
  <si>
    <t xml:space="preserve">210,306,415</t>
  </si>
  <si>
    <t xml:space="preserve">+0.40%</t>
  </si>
  <si>
    <t xml:space="preserve">South America</t>
  </si>
  <si>
    <t xml:space="preserve">Bangladesh</t>
  </si>
  <si>
    <t xml:space="preserve">169,384,897</t>
  </si>
  <si>
    <t xml:space="preserve">+1.23%</t>
  </si>
  <si>
    <t xml:space="preserve">Russia</t>
  </si>
  <si>
    <t xml:space="preserve">145,579,899</t>
  </si>
  <si>
    <t xml:space="preserve">−0.10%</t>
  </si>
  <si>
    <t xml:space="preserve">Europe</t>
  </si>
  <si>
    <t xml:space="preserve">Eastern Europe</t>
  </si>
  <si>
    <t xml:space="preserve">Mexico</t>
  </si>
  <si>
    <t xml:space="preserve">128,613,117</t>
  </si>
  <si>
    <t xml:space="preserve">+0.88%</t>
  </si>
  <si>
    <t xml:space="preserve">Central America</t>
  </si>
  <si>
    <t xml:space="preserve">Ethiopia</t>
  </si>
  <si>
    <t xml:space="preserve">125,384,287</t>
  </si>
  <si>
    <t xml:space="preserve">+2.64%</t>
  </si>
  <si>
    <t xml:space="preserve">Eastern Africa</t>
  </si>
  <si>
    <t xml:space="preserve">Japan</t>
  </si>
  <si>
    <t xml:space="preserve">124,997,578</t>
  </si>
  <si>
    <t xml:space="preserve">−0.50%</t>
  </si>
  <si>
    <t xml:space="preserve">Philippines</t>
  </si>
  <si>
    <t xml:space="preserve">113,964,338</t>
  </si>
  <si>
    <t xml:space="preserve">+0.81%</t>
  </si>
  <si>
    <t xml:space="preserve">Egypt</t>
  </si>
  <si>
    <t xml:space="preserve">112,618,250</t>
  </si>
  <si>
    <t xml:space="preserve">+1.70%</t>
  </si>
  <si>
    <t xml:space="preserve">Northern Africa</t>
  </si>
  <si>
    <t xml:space="preserve">DR Congo</t>
  </si>
  <si>
    <t xml:space="preserve">102,396,968</t>
  </si>
  <si>
    <t xml:space="preserve">+3.31%</t>
  </si>
  <si>
    <t xml:space="preserve">Middle Africa</t>
  </si>
  <si>
    <t xml:space="preserve">Vietnam</t>
  </si>
  <si>
    <t xml:space="preserve">99,680,655</t>
  </si>
  <si>
    <t xml:space="preserve">+0.67%</t>
  </si>
  <si>
    <t xml:space="preserve">Iran</t>
  </si>
  <si>
    <t xml:space="preserve">89,524,246</t>
  </si>
  <si>
    <t xml:space="preserve">+1.21%</t>
  </si>
  <si>
    <t xml:space="preserve">Turkey</t>
  </si>
  <si>
    <t xml:space="preserve">87,058,473</t>
  </si>
  <si>
    <t xml:space="preserve">+0.24%</t>
  </si>
  <si>
    <t xml:space="preserve">Western Asia</t>
  </si>
  <si>
    <t xml:space="preserve">Germany</t>
  </si>
  <si>
    <t xml:space="preserve">84,086,227</t>
  </si>
  <si>
    <t xml:space="preserve">+0.55%</t>
  </si>
  <si>
    <t xml:space="preserve">Western Europe</t>
  </si>
  <si>
    <t xml:space="preserve">Thailand</t>
  </si>
  <si>
    <t xml:space="preserve">71,735,329</t>
  </si>
  <si>
    <t xml:space="preserve">−0.05%</t>
  </si>
  <si>
    <t xml:space="preserve">United Kingdom</t>
  </si>
  <si>
    <t xml:space="preserve">68,179,315</t>
  </si>
  <si>
    <t xml:space="preserve">+0.74%</t>
  </si>
  <si>
    <t xml:space="preserve">Northern Europe</t>
  </si>
  <si>
    <t xml:space="preserve">Tanzania[b]</t>
  </si>
  <si>
    <t xml:space="preserve">64,711,821</t>
  </si>
  <si>
    <t xml:space="preserve">+2.95%</t>
  </si>
  <si>
    <t xml:space="preserve">France[c]</t>
  </si>
  <si>
    <t xml:space="preserve">66,277,409</t>
  </si>
  <si>
    <t xml:space="preserve">South Africa</t>
  </si>
  <si>
    <t xml:space="preserve">62,378,410</t>
  </si>
  <si>
    <t xml:space="preserve">+1.34%</t>
  </si>
  <si>
    <t xml:space="preserve">Southern Africa</t>
  </si>
  <si>
    <t xml:space="preserve">Italy</t>
  </si>
  <si>
    <t xml:space="preserve">59,619,115</t>
  </si>
  <si>
    <t xml:space="preserve">−0.20%</t>
  </si>
  <si>
    <t xml:space="preserve">Southern Europe</t>
  </si>
  <si>
    <t xml:space="preserve">Kenya</t>
  </si>
  <si>
    <t xml:space="preserve">54,252,461</t>
  </si>
  <si>
    <t xml:space="preserve">+2.00%</t>
  </si>
  <si>
    <t xml:space="preserve">Myanmar</t>
  </si>
  <si>
    <t xml:space="preserve">53,756,787</t>
  </si>
  <si>
    <t xml:space="preserve">+0.70%</t>
  </si>
  <si>
    <t xml:space="preserve">Colombia</t>
  </si>
  <si>
    <t xml:space="preserve">51,737,944</t>
  </si>
  <si>
    <t xml:space="preserve">+1.13%</t>
  </si>
  <si>
    <t xml:space="preserve">South Korea</t>
  </si>
  <si>
    <t xml:space="preserve">51,782,512</t>
  </si>
  <si>
    <t xml:space="preserve">−0.07%</t>
  </si>
  <si>
    <t xml:space="preserve">Sudan</t>
  </si>
  <si>
    <t xml:space="preserve">49,383,346</t>
  </si>
  <si>
    <t xml:space="preserve">Uganda</t>
  </si>
  <si>
    <t xml:space="preserve">47,312,719</t>
  </si>
  <si>
    <t xml:space="preserve">+2.84%</t>
  </si>
  <si>
    <t xml:space="preserve">Spain[d]</t>
  </si>
  <si>
    <t xml:space="preserve">47,828,382</t>
  </si>
  <si>
    <t xml:space="preserve">+0.17%</t>
  </si>
  <si>
    <t xml:space="preserve">Algeria</t>
  </si>
  <si>
    <t xml:space="preserve">45,477,389</t>
  </si>
  <si>
    <t xml:space="preserve">+1.51%</t>
  </si>
  <si>
    <t xml:space="preserve">Argentina</t>
  </si>
  <si>
    <t xml:space="preserve">45,407,904</t>
  </si>
  <si>
    <t xml:space="preserve">+0.29%</t>
  </si>
  <si>
    <t xml:space="preserve">Iraq</t>
  </si>
  <si>
    <t xml:space="preserve">44,070,551</t>
  </si>
  <si>
    <t xml:space="preserve">+2.28%</t>
  </si>
  <si>
    <t xml:space="preserve">Afghanistan</t>
  </si>
  <si>
    <t xml:space="preserve">40,578,842</t>
  </si>
  <si>
    <t xml:space="preserve">+2.16%</t>
  </si>
  <si>
    <t xml:space="preserve">Yemen</t>
  </si>
  <si>
    <t xml:space="preserve">38,222,876</t>
  </si>
  <si>
    <t xml:space="preserve">+3.06%</t>
  </si>
  <si>
    <t xml:space="preserve">Canada</t>
  </si>
  <si>
    <t xml:space="preserve">38,821,259</t>
  </si>
  <si>
    <t xml:space="preserve">Poland</t>
  </si>
  <si>
    <t xml:space="preserve">38,385,739</t>
  </si>
  <si>
    <t xml:space="preserve">+0.98%</t>
  </si>
  <si>
    <t xml:space="preserve">Ukraine[e]</t>
  </si>
  <si>
    <t xml:space="preserve">41,048,766</t>
  </si>
  <si>
    <t xml:space="preserve">−8.08%</t>
  </si>
  <si>
    <t xml:space="preserve">Morocco</t>
  </si>
  <si>
    <t xml:space="preserve">37,329,064</t>
  </si>
  <si>
    <t xml:space="preserve">+1.03%</t>
  </si>
  <si>
    <t xml:space="preserve">Angola</t>
  </si>
  <si>
    <t xml:space="preserve">35,635,029</t>
  </si>
  <si>
    <t xml:space="preserve">+3.13%</t>
  </si>
  <si>
    <t xml:space="preserve">Uzbekistan</t>
  </si>
  <si>
    <t xml:space="preserve">34,938,955</t>
  </si>
  <si>
    <t xml:space="preserve">+2.04%</t>
  </si>
  <si>
    <t xml:space="preserve">Central Asia</t>
  </si>
  <si>
    <t xml:space="preserve">Malaysia</t>
  </si>
  <si>
    <t xml:space="preserve">34,695,493</t>
  </si>
  <si>
    <t xml:space="preserve">+1.24%</t>
  </si>
  <si>
    <t xml:space="preserve">Peru</t>
  </si>
  <si>
    <t xml:space="preserve">33,475,438</t>
  </si>
  <si>
    <t xml:space="preserve">+1.11%</t>
  </si>
  <si>
    <t xml:space="preserve">Ghana</t>
  </si>
  <si>
    <t xml:space="preserve">33,149,152</t>
  </si>
  <si>
    <t xml:space="preserve">+1.93%</t>
  </si>
  <si>
    <t xml:space="preserve">Mozambique</t>
  </si>
  <si>
    <t xml:space="preserve">32,656,246</t>
  </si>
  <si>
    <t xml:space="preserve">+3.00%</t>
  </si>
  <si>
    <t xml:space="preserve">Saudi Arabia</t>
  </si>
  <si>
    <t xml:space="preserve">32,175,352</t>
  </si>
  <si>
    <t xml:space="preserve">+0.28%</t>
  </si>
  <si>
    <t xml:space="preserve">Madagascar</t>
  </si>
  <si>
    <t xml:space="preserve">30,437,261</t>
  </si>
  <si>
    <t xml:space="preserve">+2.49%</t>
  </si>
  <si>
    <t xml:space="preserve">Ivory Coast</t>
  </si>
  <si>
    <t xml:space="preserve">30,395,002</t>
  </si>
  <si>
    <t xml:space="preserve">+2.54%</t>
  </si>
  <si>
    <t xml:space="preserve">Nepal</t>
  </si>
  <si>
    <t xml:space="preserve">29,715,436</t>
  </si>
  <si>
    <t xml:space="preserve">+0.84%</t>
  </si>
  <si>
    <t xml:space="preserve">Cameroon</t>
  </si>
  <si>
    <t xml:space="preserve">27,632,771</t>
  </si>
  <si>
    <t xml:space="preserve">+2.68%</t>
  </si>
  <si>
    <t xml:space="preserve">Venezuela</t>
  </si>
  <si>
    <t xml:space="preserve">28,213,017</t>
  </si>
  <si>
    <t xml:space="preserve">+0.31%</t>
  </si>
  <si>
    <t xml:space="preserve">Australia[f]</t>
  </si>
  <si>
    <t xml:space="preserve">26,200,984</t>
  </si>
  <si>
    <t xml:space="preserve">+0.95%</t>
  </si>
  <si>
    <t xml:space="preserve">Oceania</t>
  </si>
  <si>
    <t xml:space="preserve">Australia and New Zealand</t>
  </si>
  <si>
    <t xml:space="preserve">North Korea</t>
  </si>
  <si>
    <t xml:space="preserve">26,329,845</t>
  </si>
  <si>
    <t xml:space="preserve">+0.34%</t>
  </si>
  <si>
    <t xml:space="preserve">Niger</t>
  </si>
  <si>
    <t xml:space="preserve">25,311,973</t>
  </si>
  <si>
    <t xml:space="preserve">+3.35%</t>
  </si>
  <si>
    <t xml:space="preserve">Mali</t>
  </si>
  <si>
    <t xml:space="preserve">23,072,640</t>
  </si>
  <si>
    <t xml:space="preserve">+3.02%</t>
  </si>
  <si>
    <t xml:space="preserve">Syria</t>
  </si>
  <si>
    <t xml:space="preserve">22,462,173</t>
  </si>
  <si>
    <t xml:space="preserve">+5.04%</t>
  </si>
  <si>
    <t xml:space="preserve">Taiwan[g]</t>
  </si>
  <si>
    <t xml:space="preserve">23,420,111</t>
  </si>
  <si>
    <t xml:space="preserve">−0.44%</t>
  </si>
  <si>
    <t xml:space="preserve">Burkina Faso</t>
  </si>
  <si>
    <t xml:space="preserve">22,509,038</t>
  </si>
  <si>
    <t xml:space="preserve">+2.30%</t>
  </si>
  <si>
    <t xml:space="preserve">Sri Lanka</t>
  </si>
  <si>
    <t xml:space="preserve">22,834,965</t>
  </si>
  <si>
    <t xml:space="preserve">+0.60%</t>
  </si>
  <si>
    <t xml:space="preserve">Malawi</t>
  </si>
  <si>
    <t xml:space="preserve">20,568,728</t>
  </si>
  <si>
    <t xml:space="preserve">+2.60%</t>
  </si>
  <si>
    <t xml:space="preserve">Zambia</t>
  </si>
  <si>
    <t xml:space="preserve">20,152,938</t>
  </si>
  <si>
    <t xml:space="preserve">+2.83%</t>
  </si>
  <si>
    <t xml:space="preserve">Kazakhstan</t>
  </si>
  <si>
    <t xml:space="preserve">20,034,609</t>
  </si>
  <si>
    <t xml:space="preserve">+1.47%</t>
  </si>
  <si>
    <t xml:space="preserve">Chile</t>
  </si>
  <si>
    <t xml:space="preserve">19,553,036</t>
  </si>
  <si>
    <t xml:space="preserve">+0.54%</t>
  </si>
  <si>
    <t xml:space="preserve">Chad</t>
  </si>
  <si>
    <t xml:space="preserve">18,455,316</t>
  </si>
  <si>
    <t xml:space="preserve">+4.68%</t>
  </si>
  <si>
    <t xml:space="preserve">Romania</t>
  </si>
  <si>
    <t xml:space="preserve">19,166,772</t>
  </si>
  <si>
    <t xml:space="preserve">−0.25%</t>
  </si>
  <si>
    <t xml:space="preserve">Somalia[h]</t>
  </si>
  <si>
    <t xml:space="preserve">17,801,897</t>
  </si>
  <si>
    <t xml:space="preserve">Guatemala</t>
  </si>
  <si>
    <t xml:space="preserve">17,847,877</t>
  </si>
  <si>
    <t xml:space="preserve">+1.55%</t>
  </si>
  <si>
    <t xml:space="preserve">Netherlands[i]</t>
  </si>
  <si>
    <t xml:space="preserve">17,904,421</t>
  </si>
  <si>
    <t xml:space="preserve">+1.05%</t>
  </si>
  <si>
    <t xml:space="preserve">Senegal</t>
  </si>
  <si>
    <t xml:space="preserve">17,651,103</t>
  </si>
  <si>
    <t xml:space="preserve">+2.42%</t>
  </si>
  <si>
    <t xml:space="preserve">Ecuador</t>
  </si>
  <si>
    <t xml:space="preserve">17,823,897</t>
  </si>
  <si>
    <t xml:space="preserve">Cambodia</t>
  </si>
  <si>
    <t xml:space="preserve">17,201,724</t>
  </si>
  <si>
    <t xml:space="preserve">+1.29%</t>
  </si>
  <si>
    <t xml:space="preserve">Zimbabwe</t>
  </si>
  <si>
    <t xml:space="preserve">16,069,056</t>
  </si>
  <si>
    <t xml:space="preserve">+1.69%</t>
  </si>
  <si>
    <t xml:space="preserve">Guinea</t>
  </si>
  <si>
    <t xml:space="preserve">14,055,137</t>
  </si>
  <si>
    <t xml:space="preserve">Benin</t>
  </si>
  <si>
    <t xml:space="preserve">13,759,501</t>
  </si>
  <si>
    <t xml:space="preserve">+2.55%</t>
  </si>
  <si>
    <t xml:space="preserve">Rwanda</t>
  </si>
  <si>
    <t xml:space="preserve">13,651,030</t>
  </si>
  <si>
    <t xml:space="preserve">+2.22%</t>
  </si>
  <si>
    <t xml:space="preserve">Burundi</t>
  </si>
  <si>
    <t xml:space="preserve">13,321,097</t>
  </si>
  <si>
    <t xml:space="preserve">+2.77%</t>
  </si>
  <si>
    <t xml:space="preserve">Bolivia</t>
  </si>
  <si>
    <t xml:space="preserve">12,077,154</t>
  </si>
  <si>
    <t xml:space="preserve">+1.38%</t>
  </si>
  <si>
    <t xml:space="preserve">Tunisia</t>
  </si>
  <si>
    <t xml:space="preserve">12,119,334</t>
  </si>
  <si>
    <t xml:space="preserve">Belgium</t>
  </si>
  <si>
    <t xml:space="preserve">11,641,820</t>
  </si>
  <si>
    <t xml:space="preserve">+0.61%</t>
  </si>
  <si>
    <t xml:space="preserve">Haiti</t>
  </si>
  <si>
    <t xml:space="preserve">11,503,606</t>
  </si>
  <si>
    <t xml:space="preserve">+1.16%</t>
  </si>
  <si>
    <t xml:space="preserve">Caribbean</t>
  </si>
  <si>
    <t xml:space="preserve">South Sudan</t>
  </si>
  <si>
    <t xml:space="preserve">11,021,177</t>
  </si>
  <si>
    <t xml:space="preserve">+4.19%</t>
  </si>
  <si>
    <t xml:space="preserve">Jordan</t>
  </si>
  <si>
    <t xml:space="preserve">11,256,263</t>
  </si>
  <si>
    <t xml:space="preserve">+1.63%</t>
  </si>
  <si>
    <t xml:space="preserve">Dominican Republic</t>
  </si>
  <si>
    <t xml:space="preserve">11,230,734</t>
  </si>
  <si>
    <t xml:space="preserve">+0.90%</t>
  </si>
  <si>
    <t xml:space="preserve">Cuba</t>
  </si>
  <si>
    <t xml:space="preserve">11,059,820</t>
  </si>
  <si>
    <t xml:space="preserve">−0.36%</t>
  </si>
  <si>
    <t xml:space="preserve">Czechia</t>
  </si>
  <si>
    <t xml:space="preserve">10,673,213</t>
  </si>
  <si>
    <t xml:space="preserve">+1.28%</t>
  </si>
  <si>
    <t xml:space="preserve">Honduras</t>
  </si>
  <si>
    <t xml:space="preserve">10,463,872</t>
  </si>
  <si>
    <t xml:space="preserve">+1.73%</t>
  </si>
  <si>
    <t xml:space="preserve">United Arab Emirates</t>
  </si>
  <si>
    <t xml:space="preserve">10,242,086</t>
  </si>
  <si>
    <t xml:space="preserve">+3.91%</t>
  </si>
  <si>
    <t xml:space="preserve">Sweden</t>
  </si>
  <si>
    <t xml:space="preserve">10,487,338</t>
  </si>
  <si>
    <t xml:space="preserve">Portugal[j]</t>
  </si>
  <si>
    <t xml:space="preserve">10,417,073</t>
  </si>
  <si>
    <t xml:space="preserve">+0.13%</t>
  </si>
  <si>
    <t xml:space="preserve">Tajikistan</t>
  </si>
  <si>
    <t xml:space="preserve">10,182,222</t>
  </si>
  <si>
    <t xml:space="preserve">Papua New Guinea</t>
  </si>
  <si>
    <t xml:space="preserve">10,203,169</t>
  </si>
  <si>
    <t xml:space="preserve">+1.83%</t>
  </si>
  <si>
    <t xml:space="preserve">Melanesia</t>
  </si>
  <si>
    <t xml:space="preserve">Azerbaijan</t>
  </si>
  <si>
    <t xml:space="preserve">10,295,304</t>
  </si>
  <si>
    <t xml:space="preserve">+0.22%</t>
  </si>
  <si>
    <t xml:space="preserve">Greece</t>
  </si>
  <si>
    <t xml:space="preserve">10,412,480</t>
  </si>
  <si>
    <t xml:space="preserve">−1.63%</t>
  </si>
  <si>
    <t xml:space="preserve">Hungary</t>
  </si>
  <si>
    <t xml:space="preserve">9,964,306</t>
  </si>
  <si>
    <t xml:space="preserve">−2.79%</t>
  </si>
  <si>
    <t xml:space="preserve">Togo</t>
  </si>
  <si>
    <t xml:space="preserve">9,089,738</t>
  </si>
  <si>
    <t xml:space="preserve">+2.36%</t>
  </si>
  <si>
    <t xml:space="preserve">Israel</t>
  </si>
  <si>
    <t xml:space="preserve">9,103,151</t>
  </si>
  <si>
    <t xml:space="preserve">+1.68%</t>
  </si>
  <si>
    <t xml:space="preserve">Austria</t>
  </si>
  <si>
    <t xml:space="preserve">9,064,677</t>
  </si>
  <si>
    <t xml:space="preserve">+0.73%</t>
  </si>
  <si>
    <t xml:space="preserve">Belarus</t>
  </si>
  <si>
    <t xml:space="preserve">9,173,237</t>
  </si>
  <si>
    <t xml:space="preserve">−0.63%</t>
  </si>
  <si>
    <t xml:space="preserve">Switzerland</t>
  </si>
  <si>
    <t xml:space="preserve">8,792,182</t>
  </si>
  <si>
    <t xml:space="preserve">Sierra Leone</t>
  </si>
  <si>
    <t xml:space="preserve">8,276,807</t>
  </si>
  <si>
    <t xml:space="preserve">Laos</t>
  </si>
  <si>
    <t xml:space="preserve">7,559,007</t>
  </si>
  <si>
    <t xml:space="preserve">+1.40%</t>
  </si>
  <si>
    <t xml:space="preserve">Hong Kong (China)[k]</t>
  </si>
  <si>
    <t xml:space="preserve">7,465,915</t>
  </si>
  <si>
    <t xml:space="preserve">−0.31%</t>
  </si>
  <si>
    <t xml:space="preserve">Turkmenistan</t>
  </si>
  <si>
    <t xml:space="preserve">7,230,193</t>
  </si>
  <si>
    <t xml:space="preserve">+1.86%</t>
  </si>
  <si>
    <t xml:space="preserve">Libya</t>
  </si>
  <si>
    <t xml:space="preserve">7,223,805</t>
  </si>
  <si>
    <t xml:space="preserve">Kyrgyzstan</t>
  </si>
  <si>
    <t xml:space="preserve">6,955,788</t>
  </si>
  <si>
    <t xml:space="preserve">Paraguay</t>
  </si>
  <si>
    <t xml:space="preserve">6,760,464</t>
  </si>
  <si>
    <t xml:space="preserve">Nicaragua</t>
  </si>
  <si>
    <t xml:space="preserve">6,730,654</t>
  </si>
  <si>
    <t xml:space="preserve">Bulgaria</t>
  </si>
  <si>
    <t xml:space="preserve">6,825,864</t>
  </si>
  <si>
    <t xml:space="preserve">Serbia[l]</t>
  </si>
  <si>
    <t xml:space="preserve">6,791,213</t>
  </si>
  <si>
    <t xml:space="preserve">−0.27%</t>
  </si>
  <si>
    <t xml:space="preserve">El Salvador</t>
  </si>
  <si>
    <t xml:space="preserve">6,280,319</t>
  </si>
  <si>
    <t xml:space="preserve">+0.47%</t>
  </si>
  <si>
    <t xml:space="preserve">Congo</t>
  </si>
  <si>
    <t xml:space="preserve">6,035,104</t>
  </si>
  <si>
    <t xml:space="preserve">+2.45%</t>
  </si>
  <si>
    <t xml:space="preserve">Denmark</t>
  </si>
  <si>
    <t xml:space="preserve">5,902,904</t>
  </si>
  <si>
    <t xml:space="preserve">+0.77%</t>
  </si>
  <si>
    <t xml:space="preserve">Singapore</t>
  </si>
  <si>
    <t xml:space="preserve">5,649,885</t>
  </si>
  <si>
    <t xml:space="preserve">+2.46%</t>
  </si>
  <si>
    <t xml:space="preserve">Lebanon</t>
  </si>
  <si>
    <t xml:space="preserve">5,744,489</t>
  </si>
  <si>
    <t xml:space="preserve">−0.19%</t>
  </si>
  <si>
    <t xml:space="preserve">Finland[m]</t>
  </si>
  <si>
    <t xml:space="preserve">5,569,299</t>
  </si>
  <si>
    <t xml:space="preserve">Norway[n]</t>
  </si>
  <si>
    <t xml:space="preserve">5,457,801</t>
  </si>
  <si>
    <t xml:space="preserve">+1.12%</t>
  </si>
  <si>
    <t xml:space="preserve">Slovakia</t>
  </si>
  <si>
    <t xml:space="preserve">5,473,197</t>
  </si>
  <si>
    <t xml:space="preserve">+0.82%</t>
  </si>
  <si>
    <t xml:space="preserve">Liberia</t>
  </si>
  <si>
    <t xml:space="preserve">5,373,294</t>
  </si>
  <si>
    <t xml:space="preserve">+2.23%</t>
  </si>
  <si>
    <t xml:space="preserve">Palestine[o]</t>
  </si>
  <si>
    <t xml:space="preserve">5,305,270</t>
  </si>
  <si>
    <t xml:space="preserve">+1.96%</t>
  </si>
  <si>
    <t xml:space="preserve">Ireland</t>
  </si>
  <si>
    <t xml:space="preserve">5,110,016</t>
  </si>
  <si>
    <t xml:space="preserve">New Zealand</t>
  </si>
  <si>
    <t xml:space="preserve">5,131,734</t>
  </si>
  <si>
    <t xml:space="preserve">+0.80%</t>
  </si>
  <si>
    <t xml:space="preserve">Central African Republic</t>
  </si>
  <si>
    <t xml:space="preserve">5,098,039</t>
  </si>
  <si>
    <t xml:space="preserve">+1.07%</t>
  </si>
  <si>
    <t xml:space="preserve">Costa Rica</t>
  </si>
  <si>
    <t xml:space="preserve">5,081,765</t>
  </si>
  <si>
    <t xml:space="preserve">Oman</t>
  </si>
  <si>
    <t xml:space="preserve">4,730,226</t>
  </si>
  <si>
    <t xml:space="preserve">+6.74%</t>
  </si>
  <si>
    <t xml:space="preserve">Mauritania</t>
  </si>
  <si>
    <t xml:space="preserve">4,875,637</t>
  </si>
  <si>
    <t xml:space="preserve">+3.01%</t>
  </si>
  <si>
    <t xml:space="preserve">Kuwait</t>
  </si>
  <si>
    <t xml:space="preserve">4,589,511</t>
  </si>
  <si>
    <t xml:space="preserve">+5.43%</t>
  </si>
  <si>
    <t xml:space="preserve">Panama</t>
  </si>
  <si>
    <t xml:space="preserve">4,400,773</t>
  </si>
  <si>
    <t xml:space="preserve">+1.32%</t>
  </si>
  <si>
    <t xml:space="preserve">Croatia</t>
  </si>
  <si>
    <t xml:space="preserve">3,907,027</t>
  </si>
  <si>
    <t xml:space="preserve">−0.28%</t>
  </si>
  <si>
    <t xml:space="preserve">Georgia[p]</t>
  </si>
  <si>
    <t xml:space="preserve">3,794,784</t>
  </si>
  <si>
    <t xml:space="preserve">+0.33%</t>
  </si>
  <si>
    <t xml:space="preserve">Eritrea</t>
  </si>
  <si>
    <t xml:space="preserve">3,409,447</t>
  </si>
  <si>
    <t xml:space="preserve">+1.79%</t>
  </si>
  <si>
    <t xml:space="preserve">Mongolia</t>
  </si>
  <si>
    <t xml:space="preserve">3,386,015</t>
  </si>
  <si>
    <t xml:space="preserve">+1.36%</t>
  </si>
  <si>
    <t xml:space="preserve">Uruguay</t>
  </si>
  <si>
    <t xml:space="preserve">3,390,913</t>
  </si>
  <si>
    <t xml:space="preserve">−0.08%</t>
  </si>
  <si>
    <t xml:space="preserve">Puerto Rico (United States)</t>
  </si>
  <si>
    <t xml:space="preserve">3,240,968</t>
  </si>
  <si>
    <t xml:space="preserve">+0.03%</t>
  </si>
  <si>
    <t xml:space="preserve">Bosnia and Herzegovina</t>
  </si>
  <si>
    <t xml:space="preserve">3,204,802</t>
  </si>
  <si>
    <t xml:space="preserve">−0.62%</t>
  </si>
  <si>
    <t xml:space="preserve">Moldova[q]</t>
  </si>
  <si>
    <t xml:space="preserve">3,039,985</t>
  </si>
  <si>
    <t xml:space="preserve">Qatar</t>
  </si>
  <si>
    <t xml:space="preserve">2,892,455</t>
  </si>
  <si>
    <t xml:space="preserve">+2.99%</t>
  </si>
  <si>
    <t xml:space="preserve">Namibia</t>
  </si>
  <si>
    <t xml:space="preserve">2,889,662</t>
  </si>
  <si>
    <t xml:space="preserve">Armenia</t>
  </si>
  <si>
    <t xml:space="preserve">2,880,874</t>
  </si>
  <si>
    <t xml:space="preserve">+2.17%</t>
  </si>
  <si>
    <t xml:space="preserve">Lithuania</t>
  </si>
  <si>
    <t xml:space="preserve">2,816,919</t>
  </si>
  <si>
    <t xml:space="preserve">Jamaica</t>
  </si>
  <si>
    <t xml:space="preserve">2,839,144</t>
  </si>
  <si>
    <t xml:space="preserve">+0.02%</t>
  </si>
  <si>
    <t xml:space="preserve">Albania</t>
  </si>
  <si>
    <t xml:space="preserve">2,827,608</t>
  </si>
  <si>
    <t xml:space="preserve">−0.56%</t>
  </si>
  <si>
    <t xml:space="preserve">Gambia</t>
  </si>
  <si>
    <t xml:space="preserve">2,636,470</t>
  </si>
  <si>
    <t xml:space="preserve">+2.33%</t>
  </si>
  <si>
    <t xml:space="preserve">Gabon</t>
  </si>
  <si>
    <t xml:space="preserve">2,430,747</t>
  </si>
  <si>
    <t xml:space="preserve">Botswana</t>
  </si>
  <si>
    <t xml:space="preserve">2,439,892</t>
  </si>
  <si>
    <t xml:space="preserve">+1.65%</t>
  </si>
  <si>
    <t xml:space="preserve">Lesotho</t>
  </si>
  <si>
    <t xml:space="preserve">2,286,110</t>
  </si>
  <si>
    <t xml:space="preserve">Guinea-Bissau</t>
  </si>
  <si>
    <t xml:space="preserve">2,105,529</t>
  </si>
  <si>
    <t xml:space="preserve">+2.27%</t>
  </si>
  <si>
    <t xml:space="preserve">Slovenia</t>
  </si>
  <si>
    <t xml:space="preserve">2,115,228</t>
  </si>
  <si>
    <t xml:space="preserve">+0.15%</t>
  </si>
  <si>
    <t xml:space="preserve">Latvia</t>
  </si>
  <si>
    <t xml:space="preserve">1,881,063</t>
  </si>
  <si>
    <t xml:space="preserve">+0.07%</t>
  </si>
  <si>
    <t xml:space="preserve">Equatorial Guinea</t>
  </si>
  <si>
    <t xml:space="preserve">1,803,545</t>
  </si>
  <si>
    <t xml:space="preserve">+2.44%</t>
  </si>
  <si>
    <t xml:space="preserve">North Macedonia</t>
  </si>
  <si>
    <t xml:space="preserve">1,840,233</t>
  </si>
  <si>
    <t xml:space="preserve">−0.46%</t>
  </si>
  <si>
    <t xml:space="preserve">Kosovo[r]</t>
  </si>
  <si>
    <t xml:space="preserve">1,717,946</t>
  </si>
  <si>
    <t xml:space="preserve">−1.04%</t>
  </si>
  <si>
    <t xml:space="preserve">Bahrain</t>
  </si>
  <si>
    <t xml:space="preserve">1,533,459</t>
  </si>
  <si>
    <t xml:space="preserve">Trinidad and Tobago</t>
  </si>
  <si>
    <t xml:space="preserve">1,495,921</t>
  </si>
  <si>
    <t xml:space="preserve">Timor-Leste</t>
  </si>
  <si>
    <t xml:space="preserve">1,369,295</t>
  </si>
  <si>
    <t xml:space="preserve">+1.09%</t>
  </si>
  <si>
    <t xml:space="preserve">Estonia</t>
  </si>
  <si>
    <t xml:space="preserve">1,350,091</t>
  </si>
  <si>
    <t xml:space="preserve">+1.27%</t>
  </si>
  <si>
    <t xml:space="preserve">Cyprus[s]</t>
  </si>
  <si>
    <t xml:space="preserve">1,331,370</t>
  </si>
  <si>
    <t xml:space="preserve">+1.02%</t>
  </si>
  <si>
    <t xml:space="preserve">Mauritius</t>
  </si>
  <si>
    <t xml:space="preserve">1,276,130</t>
  </si>
  <si>
    <t xml:space="preserve">Eswatini</t>
  </si>
  <si>
    <t xml:space="preserve">1,218,917</t>
  </si>
  <si>
    <t xml:space="preserve">Djibouti</t>
  </si>
  <si>
    <t xml:space="preserve">1,137,096</t>
  </si>
  <si>
    <t xml:space="preserve">+1.39%</t>
  </si>
  <si>
    <t xml:space="preserve">Fiji</t>
  </si>
  <si>
    <t xml:space="preserve">919,422</t>
  </si>
  <si>
    <t xml:space="preserve">+0.51%</t>
  </si>
  <si>
    <t xml:space="preserve">Réunion (France)</t>
  </si>
  <si>
    <t xml:space="preserve">871,540</t>
  </si>
  <si>
    <t xml:space="preserve">+0.38%</t>
  </si>
  <si>
    <t xml:space="preserve">Comoros</t>
  </si>
  <si>
    <t xml:space="preserve">834,188</t>
  </si>
  <si>
    <t xml:space="preserve">+1.94%</t>
  </si>
  <si>
    <t xml:space="preserve">Guyana</t>
  </si>
  <si>
    <t xml:space="preserve">821,637</t>
  </si>
  <si>
    <t xml:space="preserve">Solomon Islands</t>
  </si>
  <si>
    <t xml:space="preserve">781,066</t>
  </si>
  <si>
    <t xml:space="preserve">Bhutan</t>
  </si>
  <si>
    <t xml:space="preserve">780,914</t>
  </si>
  <si>
    <t xml:space="preserve">Macao (China)[t]</t>
  </si>
  <si>
    <t xml:space="preserve">704,356</t>
  </si>
  <si>
    <t xml:space="preserve">Luxembourg</t>
  </si>
  <si>
    <t xml:space="preserve">653,313</t>
  </si>
  <si>
    <t xml:space="preserve">+1.80%</t>
  </si>
  <si>
    <t xml:space="preserve">Montenegro</t>
  </si>
  <si>
    <t xml:space="preserve">614,648</t>
  </si>
  <si>
    <t xml:space="preserve">+3.08%</t>
  </si>
  <si>
    <t xml:space="preserve">Suriname</t>
  </si>
  <si>
    <t xml:space="preserve">623,164</t>
  </si>
  <si>
    <t xml:space="preserve">+0.92%</t>
  </si>
  <si>
    <t xml:space="preserve">Western Sahara (disputed)</t>
  </si>
  <si>
    <t xml:space="preserve">568,739</t>
  </si>
  <si>
    <t xml:space="preserve">Malta</t>
  </si>
  <si>
    <t xml:space="preserve">528,192</t>
  </si>
  <si>
    <t xml:space="preserve">Maldives</t>
  </si>
  <si>
    <t xml:space="preserve">524,106</t>
  </si>
  <si>
    <t xml:space="preserve">+0.36%</t>
  </si>
  <si>
    <t xml:space="preserve">Cape Verde</t>
  </si>
  <si>
    <t xml:space="preserve">519,741</t>
  </si>
  <si>
    <t xml:space="preserve">+0.50%</t>
  </si>
  <si>
    <t xml:space="preserve">Brunei</t>
  </si>
  <si>
    <t xml:space="preserve">455,370</t>
  </si>
  <si>
    <t xml:space="preserve">+0.79%</t>
  </si>
  <si>
    <t xml:space="preserve">Belize</t>
  </si>
  <si>
    <t xml:space="preserve">402,733</t>
  </si>
  <si>
    <t xml:space="preserve">+2.08%</t>
  </si>
  <si>
    <t xml:space="preserve">Bahamas</t>
  </si>
  <si>
    <t xml:space="preserve">397,538</t>
  </si>
  <si>
    <t xml:space="preserve">+0.48%</t>
  </si>
  <si>
    <t xml:space="preserve">Iceland</t>
  </si>
  <si>
    <t xml:space="preserve">380,356</t>
  </si>
  <si>
    <t xml:space="preserve">+1.89%</t>
  </si>
  <si>
    <t xml:space="preserve">Guadeloupe (France)</t>
  </si>
  <si>
    <t xml:space="preserve">384,697</t>
  </si>
  <si>
    <t xml:space="preserve">−2.13%</t>
  </si>
  <si>
    <t xml:space="preserve">Martinique (France)</t>
  </si>
  <si>
    <t xml:space="preserve">349,459</t>
  </si>
  <si>
    <t xml:space="preserve">−0.99%</t>
  </si>
  <si>
    <t xml:space="preserve">Vanuatu</t>
  </si>
  <si>
    <t xml:space="preserve">313,046</t>
  </si>
  <si>
    <t xml:space="preserve">+2.35%</t>
  </si>
  <si>
    <t xml:space="preserve">Mayotte (France)</t>
  </si>
  <si>
    <t xml:space="preserve">305,269</t>
  </si>
  <si>
    <t xml:space="preserve">+3.52%</t>
  </si>
  <si>
    <t xml:space="preserve">French Guiana (France)</t>
  </si>
  <si>
    <t xml:space="preserve">298,306</t>
  </si>
  <si>
    <t xml:space="preserve">+1.71%</t>
  </si>
  <si>
    <t xml:space="preserve">New Caledonia (France)</t>
  </si>
  <si>
    <t xml:space="preserve">287,123</t>
  </si>
  <si>
    <t xml:space="preserve">+0.96%</t>
  </si>
  <si>
    <t xml:space="preserve">Barbados</t>
  </si>
  <si>
    <t xml:space="preserve">288,318</t>
  </si>
  <si>
    <t xml:space="preserve">−2.07%</t>
  </si>
  <si>
    <t xml:space="preserve">French Polynesia (France)</t>
  </si>
  <si>
    <t xml:space="preserve">280,378</t>
  </si>
  <si>
    <t xml:space="preserve">+0.26%</t>
  </si>
  <si>
    <t xml:space="preserve">Polynesia</t>
  </si>
  <si>
    <t xml:space="preserve">São Tomé and Príncipe</t>
  </si>
  <si>
    <t xml:space="preserve">226,305</t>
  </si>
  <si>
    <t xml:space="preserve">+2.02%</t>
  </si>
  <si>
    <t xml:space="preserve">Samoa</t>
  </si>
  <si>
    <t xml:space="preserve">215,261</t>
  </si>
  <si>
    <t xml:space="preserve">+0.65%</t>
  </si>
  <si>
    <t xml:space="preserve">Curaçao (Netherlands)</t>
  </si>
  <si>
    <t xml:space="preserve">185,345</t>
  </si>
  <si>
    <t xml:space="preserve">+0.04%</t>
  </si>
  <si>
    <t xml:space="preserve">Saint Lucia</t>
  </si>
  <si>
    <t xml:space="preserve">178,781</t>
  </si>
  <si>
    <t xml:space="preserve">Guam (United States)</t>
  </si>
  <si>
    <t xml:space="preserve">165,180</t>
  </si>
  <si>
    <t xml:space="preserve">Micronesia</t>
  </si>
  <si>
    <t xml:space="preserve">Kiribati</t>
  </si>
  <si>
    <t xml:space="preserve">130,469</t>
  </si>
  <si>
    <t xml:space="preserve">+1.58%</t>
  </si>
  <si>
    <t xml:space="preserve">Seychelles</t>
  </si>
  <si>
    <t xml:space="preserve">125,522</t>
  </si>
  <si>
    <t xml:space="preserve">Grenada</t>
  </si>
  <si>
    <t xml:space="preserve">116,913</t>
  </si>
  <si>
    <t xml:space="preserve">+0.14%</t>
  </si>
  <si>
    <t xml:space="preserve">112,114</t>
  </si>
  <si>
    <t xml:space="preserve">+0.46%</t>
  </si>
  <si>
    <t xml:space="preserve">Aruba (Netherlands)</t>
  </si>
  <si>
    <t xml:space="preserve">107,782</t>
  </si>
  <si>
    <t xml:space="preserve">Tonga</t>
  </si>
  <si>
    <t xml:space="preserve">105,042</t>
  </si>
  <si>
    <t xml:space="preserve">−0.42%</t>
  </si>
  <si>
    <t xml:space="preserve">Jersey (United Kingdom)</t>
  </si>
  <si>
    <t xml:space="preserve">103,490</t>
  </si>
  <si>
    <t xml:space="preserve">+0.18%</t>
  </si>
  <si>
    <t xml:space="preserve">Saint Vincent and the Grenadines</t>
  </si>
  <si>
    <t xml:space="preserve">102,046</t>
  </si>
  <si>
    <t xml:space="preserve">−0.71%</t>
  </si>
  <si>
    <t xml:space="preserve">Antigua and Barbuda</t>
  </si>
  <si>
    <t xml:space="preserve">92,840</t>
  </si>
  <si>
    <t xml:space="preserve">U.S. Virgin Islands (United States)</t>
  </si>
  <si>
    <t xml:space="preserve">86,507</t>
  </si>
  <si>
    <t xml:space="preserve">−0.93%</t>
  </si>
  <si>
    <t xml:space="preserve">Isle of Man (United Kingdom)</t>
  </si>
  <si>
    <t xml:space="preserve">84,132</t>
  </si>
  <si>
    <t xml:space="preserve">Andorra</t>
  </si>
  <si>
    <t xml:space="preserve">79,705</t>
  </si>
  <si>
    <t xml:space="preserve">+1.44%</t>
  </si>
  <si>
    <t xml:space="preserve">Cayman Islands (United Kingdom)</t>
  </si>
  <si>
    <t xml:space="preserve">71,591</t>
  </si>
  <si>
    <t xml:space="preserve">Dominica</t>
  </si>
  <si>
    <t xml:space="preserve">66,826</t>
  </si>
  <si>
    <t xml:space="preserve">−0.47%</t>
  </si>
  <si>
    <t xml:space="preserve">Bermuda (United Kingdom)</t>
  </si>
  <si>
    <t xml:space="preserve">64,749</t>
  </si>
  <si>
    <t xml:space="preserve">Guernsey (United Kingdom)</t>
  </si>
  <si>
    <t xml:space="preserve">63,725</t>
  </si>
  <si>
    <t xml:space="preserve">Greenland (Denmark)</t>
  </si>
  <si>
    <t xml:space="preserve">54,990</t>
  </si>
  <si>
    <t xml:space="preserve">Faroe Islands (Denmark)</t>
  </si>
  <si>
    <t xml:space="preserve">54,011</t>
  </si>
  <si>
    <t xml:space="preserve">+1.30%</t>
  </si>
  <si>
    <t xml:space="preserve">American Samoa (United States)</t>
  </si>
  <si>
    <t xml:space="preserve">48,342</t>
  </si>
  <si>
    <t xml:space="preserve">−1.70%</t>
  </si>
  <si>
    <t xml:space="preserve">Saint Kitts and Nevis</t>
  </si>
  <si>
    <t xml:space="preserve">46,709</t>
  </si>
  <si>
    <t xml:space="preserve">+0.10%</t>
  </si>
  <si>
    <t xml:space="preserve">Turks and Caicos Islands (United Kingdom)</t>
  </si>
  <si>
    <t xml:space="preserve">45,847</t>
  </si>
  <si>
    <t xml:space="preserve">Northern Mariana Islands (United States)</t>
  </si>
  <si>
    <t xml:space="preserve">46,078</t>
  </si>
  <si>
    <t xml:space="preserve">−2.03%</t>
  </si>
  <si>
    <t xml:space="preserve">Sint Maarten (Netherlands)</t>
  </si>
  <si>
    <t xml:space="preserve">42,139</t>
  </si>
  <si>
    <t xml:space="preserve">+1.45%</t>
  </si>
  <si>
    <t xml:space="preserve">Liechtenstein</t>
  </si>
  <si>
    <t xml:space="preserve">39,317</t>
  </si>
  <si>
    <t xml:space="preserve">+0.71%</t>
  </si>
  <si>
    <t xml:space="preserve">British Virgin Islands (United Kingdom)</t>
  </si>
  <si>
    <t xml:space="preserve">38,319</t>
  </si>
  <si>
    <t xml:space="preserve">+1.74%</t>
  </si>
  <si>
    <t xml:space="preserve">Monaco</t>
  </si>
  <si>
    <t xml:space="preserve">38,931</t>
  </si>
  <si>
    <t xml:space="preserve">+0.06%</t>
  </si>
  <si>
    <t xml:space="preserve">Marshall Islands</t>
  </si>
  <si>
    <t xml:space="preserve">40,077</t>
  </si>
  <si>
    <t xml:space="preserve">−3.12%</t>
  </si>
  <si>
    <t xml:space="preserve">Gibraltar (United Kingdom)</t>
  </si>
  <si>
    <t xml:space="preserve">37,609</t>
  </si>
  <si>
    <t xml:space="preserve">+2.29%</t>
  </si>
  <si>
    <t xml:space="preserve">San Marino</t>
  </si>
  <si>
    <t xml:space="preserve">34,090</t>
  </si>
  <si>
    <t xml:space="preserve">−1.05%</t>
  </si>
  <si>
    <t xml:space="preserve">Caribbean Netherlands (Netherlands)[u]</t>
  </si>
  <si>
    <t xml:space="preserve">28,627</t>
  </si>
  <si>
    <t xml:space="preserve">+4.44%</t>
  </si>
  <si>
    <t xml:space="preserve">Saint Martin (France)</t>
  </si>
  <si>
    <t xml:space="preserve">28,870</t>
  </si>
  <si>
    <t xml:space="preserve">−4.69%</t>
  </si>
  <si>
    <t xml:space="preserve">Palau</t>
  </si>
  <si>
    <t xml:space="preserve">17,759</t>
  </si>
  <si>
    <t xml:space="preserve">Anguilla (United Kingdom)</t>
  </si>
  <si>
    <t xml:space="preserve">14,180</t>
  </si>
  <si>
    <t xml:space="preserve">+1.62%</t>
  </si>
  <si>
    <t xml:space="preserve">Cook Islands</t>
  </si>
  <si>
    <t xml:space="preserve">14,723</t>
  </si>
  <si>
    <t xml:space="preserve">−3.40%</t>
  </si>
  <si>
    <t xml:space="preserve">Nauru</t>
  </si>
  <si>
    <t xml:space="preserve">11,801</t>
  </si>
  <si>
    <t xml:space="preserve">+0.63%</t>
  </si>
  <si>
    <t xml:space="preserve">Wallis and Futuna (France)</t>
  </si>
  <si>
    <t xml:space="preserve">11,478</t>
  </si>
  <si>
    <t xml:space="preserve">−0.94%</t>
  </si>
  <si>
    <t xml:space="preserve">Saint Barthélemy (France)</t>
  </si>
  <si>
    <t xml:space="preserve">10,920</t>
  </si>
  <si>
    <t xml:space="preserve">Tuvalu</t>
  </si>
  <si>
    <t xml:space="preserve">9,992</t>
  </si>
  <si>
    <t xml:space="preserve">−1.76%</t>
  </si>
  <si>
    <t xml:space="preserve">Saint Pierre and Miquelon (France)</t>
  </si>
  <si>
    <t xml:space="preserve">5,732</t>
  </si>
  <si>
    <t xml:space="preserve">−0.89%</t>
  </si>
  <si>
    <t xml:space="preserve">Saint Helena (United Kingdom)[v]</t>
  </si>
  <si>
    <t xml:space="preserve">5,343</t>
  </si>
  <si>
    <t xml:space="preserve">−1.01%</t>
  </si>
  <si>
    <t xml:space="preserve">Montserrat (United Kingdom)</t>
  </si>
  <si>
    <t xml:space="preserve">4,453</t>
  </si>
  <si>
    <t xml:space="preserve">−0.74%</t>
  </si>
  <si>
    <t xml:space="preserve">Falkland Islands (United Kingdom)</t>
  </si>
  <si>
    <t xml:space="preserve">3,490</t>
  </si>
  <si>
    <t xml:space="preserve">−0.37%</t>
  </si>
  <si>
    <t xml:space="preserve">Tokelau (New Zealand)</t>
  </si>
  <si>
    <t xml:space="preserve">2,290</t>
  </si>
  <si>
    <t xml:space="preserve">+4.67%</t>
  </si>
  <si>
    <t xml:space="preserve">Niue</t>
  </si>
  <si>
    <t xml:space="preserve">1,821</t>
  </si>
  <si>
    <t xml:space="preserve">−0.22%</t>
  </si>
  <si>
    <t xml:space="preserve">Vatican City[w]</t>
  </si>
  <si>
    <t xml:space="preserve">505</t>
  </si>
  <si>
    <t xml:space="preserve">−1.78%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</si>
</sst>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%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8C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st_of_countries_and_inhabited_territories_by_total_population__United_Nations" displayName="List_of_countries_and_inhabited_territories_by_total_population__United_Nations" ref="A1:H240" headerRowCount="1" totalsRowCount="0" totalsRowShown="0">
  <tableColumns count="8">
    <tableColumn id="1" name="Lista Paesi per Popolazione (Ordine Decrescente)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26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3" t="s">
        <v>16</v>
      </c>
      <c r="B3" s="3" t="s">
        <v>17</v>
      </c>
      <c r="C3" s="4" t="n">
        <v>1438069596</v>
      </c>
      <c r="D3" s="3" t="s">
        <v>18</v>
      </c>
      <c r="E3" s="3" t="s">
        <v>19</v>
      </c>
      <c r="F3" s="3" t="s">
        <v>20</v>
      </c>
      <c r="G3" s="5" t="n">
        <f aca="false">C3/SUM($C$3:$C$239)</f>
        <v>0.177737712247532</v>
      </c>
    </row>
    <row r="4" customFormat="false" ht="15" hidden="false" customHeight="false" outlineLevel="0" collapsed="false">
      <c r="A4" s="3" t="s">
        <v>21</v>
      </c>
      <c r="B4" s="3" t="s">
        <v>22</v>
      </c>
      <c r="C4" s="4" t="n">
        <v>1422584933</v>
      </c>
      <c r="D4" s="3" t="s">
        <v>23</v>
      </c>
      <c r="E4" s="3" t="s">
        <v>19</v>
      </c>
      <c r="F4" s="3" t="s">
        <v>24</v>
      </c>
      <c r="G4" s="5" t="n">
        <f aca="false">C4/SUM($C$3:$C$239)</f>
        <v>0.175823890702178</v>
      </c>
    </row>
    <row r="5" customFormat="false" ht="15" hidden="false" customHeight="false" outlineLevel="0" collapsed="false">
      <c r="A5" s="3" t="s">
        <v>25</v>
      </c>
      <c r="B5" s="3" t="s">
        <v>26</v>
      </c>
      <c r="C5" s="4" t="n">
        <v>343477335</v>
      </c>
      <c r="D5" s="3" t="s">
        <v>27</v>
      </c>
      <c r="E5" s="3" t="s">
        <v>28</v>
      </c>
      <c r="F5" s="3" t="s">
        <v>29</v>
      </c>
      <c r="G5" s="5" t="n">
        <f aca="false">C5/SUM($C$3:$C$239)</f>
        <v>0.0424519619228353</v>
      </c>
    </row>
    <row r="6" customFormat="false" ht="15" hidden="false" customHeight="false" outlineLevel="0" collapsed="false">
      <c r="A6" s="3" t="s">
        <v>30</v>
      </c>
      <c r="B6" s="3" t="s">
        <v>31</v>
      </c>
      <c r="C6" s="4" t="n">
        <v>281190067</v>
      </c>
      <c r="D6" s="3" t="s">
        <v>32</v>
      </c>
      <c r="E6" s="3" t="s">
        <v>19</v>
      </c>
      <c r="F6" s="3" t="s">
        <v>33</v>
      </c>
      <c r="G6" s="5" t="n">
        <f aca="false">C6/SUM($C$3:$C$239)</f>
        <v>0.0347535886679787</v>
      </c>
    </row>
    <row r="7" customFormat="false" ht="15" hidden="false" customHeight="false" outlineLevel="0" collapsed="false">
      <c r="A7" s="3" t="s">
        <v>34</v>
      </c>
      <c r="B7" s="3" t="s">
        <v>35</v>
      </c>
      <c r="C7" s="4" t="n">
        <v>247504495</v>
      </c>
      <c r="D7" s="3" t="s">
        <v>36</v>
      </c>
      <c r="E7" s="3" t="s">
        <v>19</v>
      </c>
      <c r="F7" s="3" t="s">
        <v>20</v>
      </c>
      <c r="G7" s="5" t="n">
        <f aca="false">C7/SUM($C$3:$C$239)</f>
        <v>0.0305902320963058</v>
      </c>
    </row>
    <row r="8" customFormat="false" ht="15" hidden="false" customHeight="false" outlineLevel="0" collapsed="false">
      <c r="A8" s="3" t="s">
        <v>37</v>
      </c>
      <c r="B8" s="3" t="s">
        <v>38</v>
      </c>
      <c r="C8" s="4" t="n">
        <v>227882945</v>
      </c>
      <c r="D8" s="3" t="s">
        <v>39</v>
      </c>
      <c r="E8" s="3" t="s">
        <v>40</v>
      </c>
      <c r="F8" s="3" t="s">
        <v>41</v>
      </c>
      <c r="G8" s="5" t="n">
        <f aca="false">C8/SUM($C$3:$C$239)</f>
        <v>0.0281651134390092</v>
      </c>
    </row>
    <row r="9" customFormat="false" ht="15" hidden="false" customHeight="false" outlineLevel="0" collapsed="false">
      <c r="A9" s="3" t="s">
        <v>42</v>
      </c>
      <c r="B9" s="3" t="s">
        <v>43</v>
      </c>
      <c r="C9" s="4" t="n">
        <v>211140729</v>
      </c>
      <c r="D9" s="3" t="s">
        <v>44</v>
      </c>
      <c r="E9" s="3" t="s">
        <v>28</v>
      </c>
      <c r="F9" s="3" t="s">
        <v>45</v>
      </c>
      <c r="G9" s="5" t="n">
        <f aca="false">C9/SUM($C$3:$C$239)</f>
        <v>0.0260958650673928</v>
      </c>
    </row>
    <row r="10" customFormat="false" ht="15" hidden="false" customHeight="false" outlineLevel="0" collapsed="false">
      <c r="A10" s="3" t="s">
        <v>46</v>
      </c>
      <c r="B10" s="3" t="s">
        <v>47</v>
      </c>
      <c r="C10" s="4" t="n">
        <v>171466990</v>
      </c>
      <c r="D10" s="3" t="s">
        <v>48</v>
      </c>
      <c r="E10" s="3" t="s">
        <v>19</v>
      </c>
      <c r="F10" s="3" t="s">
        <v>20</v>
      </c>
      <c r="G10" s="5" t="n">
        <f aca="false">C10/SUM($C$3:$C$239)</f>
        <v>0.0211924030751641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4" t="n">
        <v>145440500</v>
      </c>
      <c r="D11" s="3" t="s">
        <v>51</v>
      </c>
      <c r="E11" s="3" t="s">
        <v>52</v>
      </c>
      <c r="F11" s="3" t="s">
        <v>53</v>
      </c>
      <c r="G11" s="5" t="n">
        <f aca="false">C11/SUM($C$3:$C$239)</f>
        <v>0.0179756680831302</v>
      </c>
    </row>
    <row r="12" customFormat="false" ht="15" hidden="false" customHeight="false" outlineLevel="0" collapsed="false">
      <c r="A12" s="3" t="s">
        <v>54</v>
      </c>
      <c r="B12" s="3" t="s">
        <v>55</v>
      </c>
      <c r="C12" s="4" t="n">
        <v>129739759</v>
      </c>
      <c r="D12" s="3" t="s">
        <v>56</v>
      </c>
      <c r="E12" s="3" t="s">
        <v>28</v>
      </c>
      <c r="F12" s="3" t="s">
        <v>57</v>
      </c>
      <c r="G12" s="5" t="n">
        <f aca="false">C12/SUM($C$3:$C$239)</f>
        <v>0.0160351404524139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6" t="n">
        <v>128691692</v>
      </c>
      <c r="D13" s="0" t="s">
        <v>60</v>
      </c>
      <c r="E13" s="0" t="s">
        <v>40</v>
      </c>
      <c r="F13" s="0" t="s">
        <v>61</v>
      </c>
      <c r="G13" s="7" t="n">
        <f aca="false">C13/SUM($C$3:$C$239)</f>
        <v>0.0159056049755634</v>
      </c>
    </row>
    <row r="14" customFormat="false" ht="15" hidden="false" customHeight="false" outlineLevel="0" collapsed="false">
      <c r="A14" s="0" t="s">
        <v>62</v>
      </c>
      <c r="B14" s="0" t="s">
        <v>63</v>
      </c>
      <c r="C14" s="6" t="n">
        <v>124370947</v>
      </c>
      <c r="D14" s="0" t="s">
        <v>64</v>
      </c>
      <c r="E14" s="0" t="s">
        <v>19</v>
      </c>
      <c r="F14" s="0" t="s">
        <v>24</v>
      </c>
      <c r="G14" s="7" t="n">
        <f aca="false">C14/SUM($C$3:$C$239)</f>
        <v>0.0153715839979688</v>
      </c>
    </row>
    <row r="15" customFormat="false" ht="15" hidden="false" customHeight="false" outlineLevel="0" collapsed="false">
      <c r="A15" s="0" t="s">
        <v>65</v>
      </c>
      <c r="B15" s="0" t="s">
        <v>66</v>
      </c>
      <c r="C15" s="6" t="n">
        <v>114891199</v>
      </c>
      <c r="D15" s="0" t="s">
        <v>67</v>
      </c>
      <c r="E15" s="0" t="s">
        <v>19</v>
      </c>
      <c r="F15" s="0" t="s">
        <v>33</v>
      </c>
      <c r="G15" s="7" t="n">
        <f aca="false">C15/SUM($C$3:$C$239)</f>
        <v>0.0141999378364133</v>
      </c>
    </row>
    <row r="16" customFormat="false" ht="15" hidden="false" customHeight="false" outlineLevel="0" collapsed="false">
      <c r="A16" s="0" t="s">
        <v>68</v>
      </c>
      <c r="B16" s="0" t="s">
        <v>69</v>
      </c>
      <c r="C16" s="6" t="n">
        <v>114535772</v>
      </c>
      <c r="D16" s="0" t="s">
        <v>70</v>
      </c>
      <c r="E16" s="0" t="s">
        <v>40</v>
      </c>
      <c r="F16" s="0" t="s">
        <v>71</v>
      </c>
      <c r="G16" s="7" t="n">
        <f aca="false">C16/SUM($C$3:$C$239)</f>
        <v>0.0141560089597951</v>
      </c>
    </row>
    <row r="17" customFormat="false" ht="15" hidden="false" customHeight="false" outlineLevel="0" collapsed="false">
      <c r="A17" s="0" t="s">
        <v>72</v>
      </c>
      <c r="B17" s="0" t="s">
        <v>73</v>
      </c>
      <c r="C17" s="6" t="n">
        <v>105789731</v>
      </c>
      <c r="D17" s="0" t="s">
        <v>74</v>
      </c>
      <c r="E17" s="0" t="s">
        <v>40</v>
      </c>
      <c r="F17" s="0" t="s">
        <v>75</v>
      </c>
      <c r="G17" s="7" t="n">
        <f aca="false">C17/SUM($C$3:$C$239)</f>
        <v>0.0130750450600736</v>
      </c>
    </row>
    <row r="18" customFormat="false" ht="15" hidden="false" customHeight="false" outlineLevel="0" collapsed="false">
      <c r="A18" s="0" t="s">
        <v>76</v>
      </c>
      <c r="B18" s="0" t="s">
        <v>77</v>
      </c>
      <c r="C18" s="6" t="n">
        <v>100352192</v>
      </c>
      <c r="D18" s="0" t="s">
        <v>78</v>
      </c>
      <c r="E18" s="0" t="s">
        <v>19</v>
      </c>
      <c r="F18" s="0" t="s">
        <v>33</v>
      </c>
      <c r="G18" s="7" t="n">
        <f aca="false">C18/SUM($C$3:$C$239)</f>
        <v>0.0124029943159337</v>
      </c>
    </row>
    <row r="19" customFormat="false" ht="15" hidden="false" customHeight="false" outlineLevel="0" collapsed="false">
      <c r="A19" s="0" t="s">
        <v>79</v>
      </c>
      <c r="B19" s="0" t="s">
        <v>80</v>
      </c>
      <c r="C19" s="6" t="n">
        <v>90608707</v>
      </c>
      <c r="D19" s="0" t="s">
        <v>81</v>
      </c>
      <c r="E19" s="0" t="s">
        <v>19</v>
      </c>
      <c r="F19" s="0" t="s">
        <v>20</v>
      </c>
      <c r="G19" s="7" t="n">
        <f aca="false">C19/SUM($C$3:$C$239)</f>
        <v>0.0111987516714643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6" t="n">
        <v>87270501</v>
      </c>
      <c r="D20" s="0" t="s">
        <v>84</v>
      </c>
      <c r="E20" s="0" t="s">
        <v>19</v>
      </c>
      <c r="F20" s="0" t="s">
        <v>85</v>
      </c>
      <c r="G20" s="7" t="n">
        <f aca="false">C20/SUM($C$3:$C$239)</f>
        <v>0.0107861672603194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6" t="n">
        <v>84548231</v>
      </c>
      <c r="D21" s="0" t="s">
        <v>88</v>
      </c>
      <c r="E21" s="0" t="s">
        <v>52</v>
      </c>
      <c r="F21" s="0" t="s">
        <v>89</v>
      </c>
      <c r="G21" s="7" t="n">
        <f aca="false">C21/SUM($C$3:$C$239)</f>
        <v>0.0104497092451678</v>
      </c>
    </row>
    <row r="22" customFormat="false" ht="15" hidden="false" customHeight="false" outlineLevel="0" collapsed="false">
      <c r="A22" s="0" t="s">
        <v>90</v>
      </c>
      <c r="B22" s="0" t="s">
        <v>91</v>
      </c>
      <c r="C22" s="6" t="n">
        <v>71702435</v>
      </c>
      <c r="D22" s="0" t="s">
        <v>92</v>
      </c>
      <c r="E22" s="0" t="s">
        <v>19</v>
      </c>
      <c r="F22" s="0" t="s">
        <v>33</v>
      </c>
      <c r="G22" s="7" t="n">
        <f aca="false">C22/SUM($C$3:$C$239)</f>
        <v>0.00886203755014745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6" t="n">
        <v>68682962</v>
      </c>
      <c r="D23" s="0" t="s">
        <v>95</v>
      </c>
      <c r="E23" s="0" t="s">
        <v>52</v>
      </c>
      <c r="F23" s="0" t="s">
        <v>96</v>
      </c>
      <c r="G23" s="7" t="n">
        <f aca="false">C23/SUM($C$3:$C$239)</f>
        <v>0.0084888468334353</v>
      </c>
    </row>
    <row r="24" customFormat="false" ht="15" hidden="false" customHeight="false" outlineLevel="0" collapsed="false">
      <c r="A24" s="0" t="s">
        <v>97</v>
      </c>
      <c r="B24" s="0" t="s">
        <v>98</v>
      </c>
      <c r="C24" s="6" t="n">
        <v>66617606</v>
      </c>
      <c r="D24" s="0" t="s">
        <v>99</v>
      </c>
      <c r="E24" s="0" t="s">
        <v>40</v>
      </c>
      <c r="F24" s="0" t="s">
        <v>61</v>
      </c>
      <c r="G24" s="7" t="n">
        <f aca="false">C24/SUM($C$3:$C$239)</f>
        <v>0.00823357987595439</v>
      </c>
    </row>
    <row r="25" customFormat="false" ht="15" hidden="false" customHeight="false" outlineLevel="0" collapsed="false">
      <c r="A25" s="0" t="s">
        <v>100</v>
      </c>
      <c r="B25" s="0" t="s">
        <v>101</v>
      </c>
      <c r="C25" s="6" t="n">
        <v>66438822</v>
      </c>
      <c r="D25" s="0" t="s">
        <v>84</v>
      </c>
      <c r="E25" s="0" t="s">
        <v>52</v>
      </c>
      <c r="F25" s="0" t="s">
        <v>89</v>
      </c>
      <c r="G25" s="7" t="n">
        <f aca="false">C25/SUM($C$3:$C$239)</f>
        <v>0.00821148312956962</v>
      </c>
    </row>
    <row r="26" customFormat="false" ht="15" hidden="false" customHeight="false" outlineLevel="0" collapsed="false">
      <c r="A26" s="0" t="s">
        <v>102</v>
      </c>
      <c r="B26" s="0" t="s">
        <v>103</v>
      </c>
      <c r="C26" s="6" t="n">
        <v>63212384</v>
      </c>
      <c r="D26" s="0" t="s">
        <v>104</v>
      </c>
      <c r="E26" s="0" t="s">
        <v>40</v>
      </c>
      <c r="F26" s="0" t="s">
        <v>105</v>
      </c>
      <c r="G26" s="7" t="n">
        <f aca="false">C26/SUM($C$3:$C$239)</f>
        <v>0.00781271264556552</v>
      </c>
    </row>
    <row r="27" customFormat="false" ht="15" hidden="false" customHeight="false" outlineLevel="0" collapsed="false">
      <c r="A27" s="0" t="s">
        <v>106</v>
      </c>
      <c r="B27" s="0" t="s">
        <v>107</v>
      </c>
      <c r="C27" s="6" t="n">
        <v>59499453</v>
      </c>
      <c r="D27" s="0" t="s">
        <v>108</v>
      </c>
      <c r="E27" s="0" t="s">
        <v>52</v>
      </c>
      <c r="F27" s="0" t="s">
        <v>109</v>
      </c>
      <c r="G27" s="7" t="n">
        <f aca="false">C27/SUM($C$3:$C$239)</f>
        <v>0.00735381422819508</v>
      </c>
    </row>
    <row r="28" customFormat="false" ht="15" hidden="false" customHeight="false" outlineLevel="0" collapsed="false">
      <c r="A28" s="0" t="s">
        <v>110</v>
      </c>
      <c r="B28" s="0" t="s">
        <v>111</v>
      </c>
      <c r="C28" s="6" t="n">
        <v>55339003</v>
      </c>
      <c r="D28" s="0" t="s">
        <v>112</v>
      </c>
      <c r="E28" s="0" t="s">
        <v>40</v>
      </c>
      <c r="F28" s="0" t="s">
        <v>61</v>
      </c>
      <c r="G28" s="7" t="n">
        <f aca="false">C28/SUM($C$3:$C$239)</f>
        <v>0.00683960485545187</v>
      </c>
    </row>
    <row r="29" customFormat="false" ht="15" hidden="false" customHeight="false" outlineLevel="0" collapsed="false">
      <c r="A29" s="0" t="s">
        <v>113</v>
      </c>
      <c r="B29" s="0" t="s">
        <v>114</v>
      </c>
      <c r="C29" s="6" t="n">
        <v>54133798</v>
      </c>
      <c r="D29" s="0" t="s">
        <v>115</v>
      </c>
      <c r="E29" s="0" t="s">
        <v>19</v>
      </c>
      <c r="F29" s="0" t="s">
        <v>33</v>
      </c>
      <c r="G29" s="7" t="n">
        <f aca="false">C29/SUM($C$3:$C$239)</f>
        <v>0.00669064796206847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6" t="n">
        <v>52321152</v>
      </c>
      <c r="D30" s="0" t="s">
        <v>118</v>
      </c>
      <c r="E30" s="0" t="s">
        <v>28</v>
      </c>
      <c r="F30" s="0" t="s">
        <v>45</v>
      </c>
      <c r="G30" s="7" t="n">
        <f aca="false">C30/SUM($C$3:$C$239)</f>
        <v>0.00646661460926637</v>
      </c>
    </row>
    <row r="31" customFormat="false" ht="15" hidden="false" customHeight="false" outlineLevel="0" collapsed="false">
      <c r="A31" s="0" t="s">
        <v>119</v>
      </c>
      <c r="B31" s="0" t="s">
        <v>120</v>
      </c>
      <c r="C31" s="6" t="n">
        <v>51748739</v>
      </c>
      <c r="D31" s="0" t="s">
        <v>121</v>
      </c>
      <c r="E31" s="0" t="s">
        <v>19</v>
      </c>
      <c r="F31" s="0" t="s">
        <v>24</v>
      </c>
      <c r="G31" s="7" t="n">
        <f aca="false">C31/SUM($C$3:$C$239)</f>
        <v>0.00639586742334176</v>
      </c>
    </row>
    <row r="32" customFormat="false" ht="15" hidden="false" customHeight="false" outlineLevel="0" collapsed="false">
      <c r="A32" s="0" t="s">
        <v>122</v>
      </c>
      <c r="B32" s="0" t="s">
        <v>123</v>
      </c>
      <c r="C32" s="6" t="n">
        <v>50042791</v>
      </c>
      <c r="D32" s="0" t="s">
        <v>104</v>
      </c>
      <c r="E32" s="0" t="s">
        <v>40</v>
      </c>
      <c r="F32" s="0" t="s">
        <v>71</v>
      </c>
      <c r="G32" s="7" t="n">
        <f aca="false">C32/SUM($C$3:$C$239)</f>
        <v>0.00618502137279132</v>
      </c>
    </row>
    <row r="33" customFormat="false" ht="15" hidden="false" customHeight="false" outlineLevel="0" collapsed="false">
      <c r="A33" s="0" t="s">
        <v>124</v>
      </c>
      <c r="B33" s="0" t="s">
        <v>125</v>
      </c>
      <c r="C33" s="6" t="n">
        <v>48656601</v>
      </c>
      <c r="D33" s="0" t="s">
        <v>126</v>
      </c>
      <c r="E33" s="0" t="s">
        <v>40</v>
      </c>
      <c r="F33" s="0" t="s">
        <v>61</v>
      </c>
      <c r="G33" s="7" t="n">
        <f aca="false">C33/SUM($C$3:$C$239)</f>
        <v>0.0060136957011926</v>
      </c>
    </row>
    <row r="34" customFormat="false" ht="15" hidden="false" customHeight="false" outlineLevel="0" collapsed="false">
      <c r="A34" s="0" t="s">
        <v>127</v>
      </c>
      <c r="B34" s="0" t="s">
        <v>128</v>
      </c>
      <c r="C34" s="6" t="n">
        <v>47911579</v>
      </c>
      <c r="D34" s="0" t="s">
        <v>129</v>
      </c>
      <c r="E34" s="0" t="s">
        <v>52</v>
      </c>
      <c r="F34" s="0" t="s">
        <v>109</v>
      </c>
      <c r="G34" s="7" t="n">
        <f aca="false">C34/SUM($C$3:$C$239)</f>
        <v>0.00592161496586351</v>
      </c>
    </row>
    <row r="35" customFormat="false" ht="15" hidden="false" customHeight="false" outlineLevel="0" collapsed="false">
      <c r="A35" s="0" t="s">
        <v>130</v>
      </c>
      <c r="B35" s="0" t="s">
        <v>131</v>
      </c>
      <c r="C35" s="6" t="n">
        <v>46164219</v>
      </c>
      <c r="D35" s="0" t="s">
        <v>132</v>
      </c>
      <c r="E35" s="0" t="s">
        <v>40</v>
      </c>
      <c r="F35" s="0" t="s">
        <v>71</v>
      </c>
      <c r="G35" s="7" t="n">
        <f aca="false">C35/SUM($C$3:$C$239)</f>
        <v>0.00570565061355629</v>
      </c>
    </row>
    <row r="36" customFormat="false" ht="15" hidden="false" customHeight="false" outlineLevel="0" collapsed="false">
      <c r="A36" s="0" t="s">
        <v>133</v>
      </c>
      <c r="B36" s="0" t="s">
        <v>134</v>
      </c>
      <c r="C36" s="6" t="n">
        <v>45538401</v>
      </c>
      <c r="D36" s="0" t="s">
        <v>135</v>
      </c>
      <c r="E36" s="0" t="s">
        <v>28</v>
      </c>
      <c r="F36" s="0" t="s">
        <v>45</v>
      </c>
      <c r="G36" s="7" t="n">
        <f aca="false">C36/SUM($C$3:$C$239)</f>
        <v>0.00562830285520529</v>
      </c>
    </row>
    <row r="37" customFormat="false" ht="15" hidden="false" customHeight="false" outlineLevel="0" collapsed="false">
      <c r="A37" s="0" t="s">
        <v>136</v>
      </c>
      <c r="B37" s="0" t="s">
        <v>137</v>
      </c>
      <c r="C37" s="6" t="n">
        <v>45074049</v>
      </c>
      <c r="D37" s="0" t="s">
        <v>138</v>
      </c>
      <c r="E37" s="0" t="s">
        <v>19</v>
      </c>
      <c r="F37" s="0" t="s">
        <v>85</v>
      </c>
      <c r="G37" s="7" t="n">
        <f aca="false">C37/SUM($C$3:$C$239)</f>
        <v>0.00557091143104395</v>
      </c>
    </row>
    <row r="38" customFormat="false" ht="15" hidden="false" customHeight="false" outlineLevel="0" collapsed="false">
      <c r="A38" s="0" t="s">
        <v>139</v>
      </c>
      <c r="B38" s="0" t="s">
        <v>140</v>
      </c>
      <c r="C38" s="6" t="n">
        <v>41454761</v>
      </c>
      <c r="D38" s="0" t="s">
        <v>141</v>
      </c>
      <c r="E38" s="0" t="s">
        <v>19</v>
      </c>
      <c r="F38" s="0" t="s">
        <v>20</v>
      </c>
      <c r="G38" s="7" t="n">
        <f aca="false">C38/SUM($C$3:$C$239)</f>
        <v>0.00512358678773445</v>
      </c>
    </row>
    <row r="39" customFormat="false" ht="15" hidden="false" customHeight="false" outlineLevel="0" collapsed="false">
      <c r="A39" s="0" t="s">
        <v>142</v>
      </c>
      <c r="B39" s="0" t="s">
        <v>143</v>
      </c>
      <c r="C39" s="6" t="n">
        <v>39390799</v>
      </c>
      <c r="D39" s="0" t="s">
        <v>144</v>
      </c>
      <c r="E39" s="0" t="s">
        <v>19</v>
      </c>
      <c r="F39" s="0" t="s">
        <v>85</v>
      </c>
      <c r="G39" s="7" t="n">
        <f aca="false">C39/SUM($C$3:$C$239)</f>
        <v>0.00486849212119938</v>
      </c>
    </row>
    <row r="40" customFormat="false" ht="15" hidden="false" customHeight="false" outlineLevel="0" collapsed="false">
      <c r="A40" s="0" t="s">
        <v>145</v>
      </c>
      <c r="B40" s="0" t="s">
        <v>146</v>
      </c>
      <c r="C40" s="6" t="n">
        <v>39299105</v>
      </c>
      <c r="D40" s="0" t="s">
        <v>48</v>
      </c>
      <c r="E40" s="0" t="s">
        <v>28</v>
      </c>
      <c r="F40" s="0" t="s">
        <v>29</v>
      </c>
      <c r="G40" s="7" t="n">
        <f aca="false">C40/SUM($C$3:$C$239)</f>
        <v>0.00485715923311652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6" t="n">
        <v>38762844</v>
      </c>
      <c r="D41" s="0" t="s">
        <v>149</v>
      </c>
      <c r="E41" s="0" t="s">
        <v>52</v>
      </c>
      <c r="F41" s="0" t="s">
        <v>53</v>
      </c>
      <c r="G41" s="7" t="n">
        <f aca="false">C41/SUM($C$3:$C$239)</f>
        <v>0.0047908802410756</v>
      </c>
    </row>
    <row r="42" customFormat="false" ht="15" hidden="false" customHeight="false" outlineLevel="0" collapsed="false">
      <c r="A42" s="0" t="s">
        <v>150</v>
      </c>
      <c r="B42" s="0" t="s">
        <v>151</v>
      </c>
      <c r="C42" s="6" t="n">
        <v>37732836</v>
      </c>
      <c r="D42" s="0" t="s">
        <v>152</v>
      </c>
      <c r="E42" s="0" t="s">
        <v>52</v>
      </c>
      <c r="F42" s="0" t="s">
        <v>53</v>
      </c>
      <c r="G42" s="7" t="n">
        <f aca="false">C42/SUM($C$3:$C$239)</f>
        <v>0.00466357676005781</v>
      </c>
    </row>
    <row r="43" customFormat="false" ht="15" hidden="false" customHeight="false" outlineLevel="0" collapsed="false">
      <c r="A43" s="0" t="s">
        <v>153</v>
      </c>
      <c r="B43" s="0" t="s">
        <v>154</v>
      </c>
      <c r="C43" s="6" t="n">
        <v>37712505</v>
      </c>
      <c r="D43" s="0" t="s">
        <v>155</v>
      </c>
      <c r="E43" s="0" t="s">
        <v>40</v>
      </c>
      <c r="F43" s="0" t="s">
        <v>71</v>
      </c>
      <c r="G43" s="7" t="n">
        <f aca="false">C43/SUM($C$3:$C$239)</f>
        <v>0.00466106395717417</v>
      </c>
    </row>
    <row r="44" customFormat="false" ht="15" hidden="false" customHeight="false" outlineLevel="0" collapsed="false">
      <c r="A44" s="0" t="s">
        <v>156</v>
      </c>
      <c r="B44" s="0" t="s">
        <v>157</v>
      </c>
      <c r="C44" s="6" t="n">
        <v>36749906</v>
      </c>
      <c r="D44" s="0" t="s">
        <v>158</v>
      </c>
      <c r="E44" s="0" t="s">
        <v>40</v>
      </c>
      <c r="F44" s="0" t="s">
        <v>75</v>
      </c>
      <c r="G44" s="7" t="n">
        <f aca="false">C44/SUM($C$3:$C$239)</f>
        <v>0.00454209186809889</v>
      </c>
    </row>
    <row r="45" customFormat="false" ht="15" hidden="false" customHeight="false" outlineLevel="0" collapsed="false">
      <c r="A45" s="0" t="s">
        <v>159</v>
      </c>
      <c r="B45" s="0" t="s">
        <v>160</v>
      </c>
      <c r="C45" s="6" t="n">
        <v>35652307</v>
      </c>
      <c r="D45" s="0" t="s">
        <v>161</v>
      </c>
      <c r="E45" s="0" t="s">
        <v>19</v>
      </c>
      <c r="F45" s="0" t="s">
        <v>162</v>
      </c>
      <c r="G45" s="7" t="n">
        <f aca="false">C45/SUM($C$3:$C$239)</f>
        <v>0.00440643450091179</v>
      </c>
    </row>
    <row r="46" customFormat="false" ht="15" hidden="false" customHeight="false" outlineLevel="0" collapsed="false">
      <c r="A46" s="0" t="s">
        <v>163</v>
      </c>
      <c r="B46" s="0" t="s">
        <v>164</v>
      </c>
      <c r="C46" s="6" t="n">
        <v>35126298</v>
      </c>
      <c r="D46" s="0" t="s">
        <v>165</v>
      </c>
      <c r="E46" s="0" t="s">
        <v>19</v>
      </c>
      <c r="F46" s="0" t="s">
        <v>33</v>
      </c>
      <c r="G46" s="7" t="n">
        <f aca="false">C46/SUM($C$3:$C$239)</f>
        <v>0.00434142260125014</v>
      </c>
    </row>
    <row r="47" customFormat="false" ht="15" hidden="false" customHeight="false" outlineLevel="0" collapsed="false">
      <c r="A47" s="0" t="s">
        <v>166</v>
      </c>
      <c r="B47" s="0" t="s">
        <v>167</v>
      </c>
      <c r="C47" s="6" t="n">
        <v>33845617</v>
      </c>
      <c r="D47" s="0" t="s">
        <v>168</v>
      </c>
      <c r="E47" s="0" t="s">
        <v>28</v>
      </c>
      <c r="F47" s="0" t="s">
        <v>45</v>
      </c>
      <c r="G47" s="7" t="n">
        <f aca="false">C47/SUM($C$3:$C$239)</f>
        <v>0.00418313727786105</v>
      </c>
    </row>
    <row r="48" customFormat="false" ht="15" hidden="false" customHeight="false" outlineLevel="0" collapsed="false">
      <c r="A48" s="0" t="s">
        <v>169</v>
      </c>
      <c r="B48" s="0" t="s">
        <v>170</v>
      </c>
      <c r="C48" s="6" t="n">
        <v>33787914</v>
      </c>
      <c r="D48" s="0" t="s">
        <v>171</v>
      </c>
      <c r="E48" s="0" t="s">
        <v>40</v>
      </c>
      <c r="F48" s="0" t="s">
        <v>41</v>
      </c>
      <c r="G48" s="7" t="n">
        <f aca="false">C48/SUM($C$3:$C$239)</f>
        <v>0.00417600549561745</v>
      </c>
    </row>
    <row r="49" customFormat="false" ht="15" hidden="false" customHeight="false" outlineLevel="0" collapsed="false">
      <c r="A49" s="0" t="s">
        <v>172</v>
      </c>
      <c r="B49" s="0" t="s">
        <v>173</v>
      </c>
      <c r="C49" s="6" t="n">
        <v>33635160</v>
      </c>
      <c r="D49" s="0" t="s">
        <v>174</v>
      </c>
      <c r="E49" s="0" t="s">
        <v>40</v>
      </c>
      <c r="F49" s="0" t="s">
        <v>61</v>
      </c>
      <c r="G49" s="7" t="n">
        <f aca="false">C49/SUM($C$3:$C$239)</f>
        <v>0.00415712591804194</v>
      </c>
    </row>
    <row r="50" customFormat="false" ht="15" hidden="false" customHeight="false" outlineLevel="0" collapsed="false">
      <c r="A50" s="0" t="s">
        <v>175</v>
      </c>
      <c r="B50" s="0" t="s">
        <v>176</v>
      </c>
      <c r="C50" s="6" t="n">
        <v>32264292</v>
      </c>
      <c r="D50" s="0" t="s">
        <v>177</v>
      </c>
      <c r="E50" s="0" t="s">
        <v>19</v>
      </c>
      <c r="F50" s="0" t="s">
        <v>85</v>
      </c>
      <c r="G50" s="7" t="n">
        <f aca="false">C50/SUM($C$3:$C$239)</f>
        <v>0.00398769396371158</v>
      </c>
    </row>
    <row r="51" customFormat="false" ht="15" hidden="false" customHeight="false" outlineLevel="0" collapsed="false">
      <c r="A51" s="0" t="s">
        <v>178</v>
      </c>
      <c r="B51" s="0" t="s">
        <v>179</v>
      </c>
      <c r="C51" s="6" t="n">
        <v>31195932</v>
      </c>
      <c r="D51" s="0" t="s">
        <v>180</v>
      </c>
      <c r="E51" s="0" t="s">
        <v>40</v>
      </c>
      <c r="F51" s="0" t="s">
        <v>61</v>
      </c>
      <c r="G51" s="7" t="n">
        <f aca="false">C51/SUM($C$3:$C$239)</f>
        <v>0.00385565038057419</v>
      </c>
    </row>
    <row r="52" customFormat="false" ht="15" hidden="false" customHeight="false" outlineLevel="0" collapsed="false">
      <c r="A52" s="0" t="s">
        <v>181</v>
      </c>
      <c r="B52" s="0" t="s">
        <v>182</v>
      </c>
      <c r="C52" s="6" t="n">
        <v>31165654</v>
      </c>
      <c r="D52" s="0" t="s">
        <v>183</v>
      </c>
      <c r="E52" s="0" t="s">
        <v>40</v>
      </c>
      <c r="F52" s="0" t="s">
        <v>41</v>
      </c>
      <c r="G52" s="7" t="n">
        <f aca="false">C52/SUM($C$3:$C$239)</f>
        <v>0.00385190818168034</v>
      </c>
    </row>
    <row r="53" customFormat="false" ht="15" hidden="false" customHeight="false" outlineLevel="0" collapsed="false">
      <c r="A53" s="0" t="s">
        <v>184</v>
      </c>
      <c r="B53" s="0" t="s">
        <v>185</v>
      </c>
      <c r="C53" s="6" t="n">
        <v>29964614</v>
      </c>
      <c r="D53" s="0" t="s">
        <v>186</v>
      </c>
      <c r="E53" s="0" t="s">
        <v>19</v>
      </c>
      <c r="F53" s="0" t="s">
        <v>20</v>
      </c>
      <c r="G53" s="7" t="n">
        <f aca="false">C53/SUM($C$3:$C$239)</f>
        <v>0.00370346606002535</v>
      </c>
    </row>
    <row r="54" customFormat="false" ht="15" hidden="false" customHeight="false" outlineLevel="0" collapsed="false">
      <c r="A54" s="0" t="s">
        <v>187</v>
      </c>
      <c r="B54" s="0" t="s">
        <v>188</v>
      </c>
      <c r="C54" s="6" t="n">
        <v>28372687</v>
      </c>
      <c r="D54" s="0" t="s">
        <v>189</v>
      </c>
      <c r="E54" s="0" t="s">
        <v>40</v>
      </c>
      <c r="F54" s="0" t="s">
        <v>75</v>
      </c>
      <c r="G54" s="7" t="n">
        <f aca="false">C54/SUM($C$3:$C$239)</f>
        <v>0.00350671239536817</v>
      </c>
    </row>
    <row r="55" customFormat="false" ht="15" hidden="false" customHeight="false" outlineLevel="0" collapsed="false">
      <c r="A55" s="0" t="s">
        <v>190</v>
      </c>
      <c r="B55" s="0" t="s">
        <v>191</v>
      </c>
      <c r="C55" s="6" t="n">
        <v>28300854</v>
      </c>
      <c r="D55" s="0" t="s">
        <v>192</v>
      </c>
      <c r="E55" s="0" t="s">
        <v>28</v>
      </c>
      <c r="F55" s="0" t="s">
        <v>45</v>
      </c>
      <c r="G55" s="7" t="n">
        <f aca="false">C55/SUM($C$3:$C$239)</f>
        <v>0.00349783422068219</v>
      </c>
    </row>
    <row r="56" customFormat="false" ht="15" hidden="false" customHeight="false" outlineLevel="0" collapsed="false">
      <c r="A56" s="0" t="s">
        <v>193</v>
      </c>
      <c r="B56" s="0" t="s">
        <v>194</v>
      </c>
      <c r="C56" s="6" t="n">
        <v>26451124</v>
      </c>
      <c r="D56" s="0" t="s">
        <v>195</v>
      </c>
      <c r="E56" s="0" t="s">
        <v>196</v>
      </c>
      <c r="F56" s="0" t="s">
        <v>197</v>
      </c>
      <c r="G56" s="7" t="n">
        <f aca="false">C56/SUM($C$3:$C$239)</f>
        <v>0.0032692174837801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6" t="n">
        <v>26418204</v>
      </c>
      <c r="D57" s="0" t="s">
        <v>200</v>
      </c>
      <c r="E57" s="0" t="s">
        <v>19</v>
      </c>
      <c r="F57" s="0" t="s">
        <v>24</v>
      </c>
      <c r="G57" s="7" t="n">
        <f aca="false">C57/SUM($C$3:$C$239)</f>
        <v>0.00326514874781387</v>
      </c>
    </row>
    <row r="58" customFormat="false" ht="15" hidden="false" customHeight="false" outlineLevel="0" collapsed="false">
      <c r="A58" s="0" t="s">
        <v>201</v>
      </c>
      <c r="B58" s="0" t="s">
        <v>202</v>
      </c>
      <c r="C58" s="6" t="n">
        <v>26159867</v>
      </c>
      <c r="D58" s="0" t="s">
        <v>203</v>
      </c>
      <c r="E58" s="0" t="s">
        <v>40</v>
      </c>
      <c r="F58" s="0" t="s">
        <v>41</v>
      </c>
      <c r="G58" s="7" t="n">
        <f aca="false">C58/SUM($C$3:$C$239)</f>
        <v>0.00323321967602443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6" t="n">
        <v>23769127</v>
      </c>
      <c r="D59" s="0" t="s">
        <v>206</v>
      </c>
      <c r="E59" s="0" t="s">
        <v>40</v>
      </c>
      <c r="F59" s="0" t="s">
        <v>41</v>
      </c>
      <c r="G59" s="7" t="n">
        <f aca="false">C59/SUM($C$3:$C$239)</f>
        <v>0.00293773699607585</v>
      </c>
    </row>
    <row r="60" customFormat="false" ht="15" hidden="false" customHeight="false" outlineLevel="0" collapsed="false">
      <c r="A60" s="0" t="s">
        <v>207</v>
      </c>
      <c r="B60" s="0" t="s">
        <v>208</v>
      </c>
      <c r="C60" s="6" t="n">
        <v>23594623</v>
      </c>
      <c r="D60" s="0" t="s">
        <v>209</v>
      </c>
      <c r="E60" s="0" t="s">
        <v>19</v>
      </c>
      <c r="F60" s="0" t="s">
        <v>85</v>
      </c>
      <c r="G60" s="7" t="n">
        <f aca="false">C60/SUM($C$3:$C$239)</f>
        <v>0.00291616923480455</v>
      </c>
    </row>
    <row r="61" customFormat="false" ht="15" hidden="false" customHeight="false" outlineLevel="0" collapsed="false">
      <c r="A61" s="0" t="s">
        <v>210</v>
      </c>
      <c r="B61" s="0" t="s">
        <v>211</v>
      </c>
      <c r="C61" s="6" t="n">
        <v>23317145</v>
      </c>
      <c r="D61" s="0" t="s">
        <v>212</v>
      </c>
      <c r="E61" s="0" t="s">
        <v>19</v>
      </c>
      <c r="F61" s="0" t="s">
        <v>24</v>
      </c>
      <c r="G61" s="7" t="n">
        <f aca="false">C61/SUM($C$3:$C$239)</f>
        <v>0.00288187443776816</v>
      </c>
    </row>
    <row r="62" customFormat="false" ht="15" hidden="false" customHeight="false" outlineLevel="0" collapsed="false">
      <c r="A62" s="0" t="s">
        <v>213</v>
      </c>
      <c r="B62" s="0" t="s">
        <v>214</v>
      </c>
      <c r="C62" s="6" t="n">
        <v>23025776</v>
      </c>
      <c r="D62" s="0" t="s">
        <v>215</v>
      </c>
      <c r="E62" s="0" t="s">
        <v>40</v>
      </c>
      <c r="F62" s="0" t="s">
        <v>41</v>
      </c>
      <c r="G62" s="7" t="n">
        <f aca="false">C62/SUM($C$3:$C$239)</f>
        <v>0.00284586278741139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6" t="n">
        <v>22971617</v>
      </c>
      <c r="D63" s="0" t="s">
        <v>218</v>
      </c>
      <c r="E63" s="0" t="s">
        <v>19</v>
      </c>
      <c r="F63" s="0" t="s">
        <v>20</v>
      </c>
      <c r="G63" s="7" t="n">
        <f aca="false">C63/SUM($C$3:$C$239)</f>
        <v>0.00283916902461688</v>
      </c>
    </row>
    <row r="64" customFormat="false" ht="15" hidden="false" customHeight="false" outlineLevel="0" collapsed="false">
      <c r="A64" s="0" t="s">
        <v>219</v>
      </c>
      <c r="B64" s="0" t="s">
        <v>220</v>
      </c>
      <c r="C64" s="6" t="n">
        <v>21104482</v>
      </c>
      <c r="D64" s="0" t="s">
        <v>221</v>
      </c>
      <c r="E64" s="0" t="s">
        <v>40</v>
      </c>
      <c r="F64" s="0" t="s">
        <v>61</v>
      </c>
      <c r="G64" s="7" t="n">
        <f aca="false">C64/SUM($C$3:$C$239)</f>
        <v>0.00260840112278489</v>
      </c>
    </row>
    <row r="65" customFormat="false" ht="15" hidden="false" customHeight="false" outlineLevel="0" collapsed="false">
      <c r="A65" s="0" t="s">
        <v>222</v>
      </c>
      <c r="B65" s="0" t="s">
        <v>223</v>
      </c>
      <c r="C65" s="6" t="n">
        <v>20723965</v>
      </c>
      <c r="D65" s="0" t="s">
        <v>224</v>
      </c>
      <c r="E65" s="0" t="s">
        <v>40</v>
      </c>
      <c r="F65" s="0" t="s">
        <v>61</v>
      </c>
      <c r="G65" s="7" t="n">
        <f aca="false">C65/SUM($C$3:$C$239)</f>
        <v>0.00256137125633099</v>
      </c>
    </row>
    <row r="66" customFormat="false" ht="15" hidden="false" customHeight="false" outlineLevel="0" collapsed="false">
      <c r="A66" s="0" t="s">
        <v>225</v>
      </c>
      <c r="B66" s="0" t="s">
        <v>226</v>
      </c>
      <c r="C66" s="6" t="n">
        <v>20330104</v>
      </c>
      <c r="D66" s="0" t="s">
        <v>227</v>
      </c>
      <c r="E66" s="0" t="s">
        <v>19</v>
      </c>
      <c r="F66" s="0" t="s">
        <v>162</v>
      </c>
      <c r="G66" s="7" t="n">
        <f aca="false">C66/SUM($C$3:$C$239)</f>
        <v>0.00251269214283173</v>
      </c>
    </row>
    <row r="67" customFormat="false" ht="15" hidden="false" customHeight="false" outlineLevel="0" collapsed="false">
      <c r="A67" s="0" t="s">
        <v>228</v>
      </c>
      <c r="B67" s="0" t="s">
        <v>229</v>
      </c>
      <c r="C67" s="6" t="n">
        <v>19658835</v>
      </c>
      <c r="D67" s="0" t="s">
        <v>230</v>
      </c>
      <c r="E67" s="0" t="s">
        <v>28</v>
      </c>
      <c r="F67" s="0" t="s">
        <v>45</v>
      </c>
      <c r="G67" s="7" t="n">
        <f aca="false">C67/SUM($C$3:$C$239)</f>
        <v>0.00242972688392177</v>
      </c>
    </row>
    <row r="68" customFormat="false" ht="15" hidden="false" customHeight="false" outlineLevel="0" collapsed="false">
      <c r="A68" s="0" t="s">
        <v>231</v>
      </c>
      <c r="B68" s="0" t="s">
        <v>232</v>
      </c>
      <c r="C68" s="6" t="n">
        <v>19319064</v>
      </c>
      <c r="D68" s="0" t="s">
        <v>233</v>
      </c>
      <c r="E68" s="0" t="s">
        <v>40</v>
      </c>
      <c r="F68" s="0" t="s">
        <v>75</v>
      </c>
      <c r="G68" s="7" t="n">
        <f aca="false">C68/SUM($C$3:$C$239)</f>
        <v>0.00238773300518597</v>
      </c>
    </row>
    <row r="69" customFormat="false" ht="15" hidden="false" customHeight="false" outlineLevel="0" collapsed="false">
      <c r="A69" s="0" t="s">
        <v>234</v>
      </c>
      <c r="B69" s="0" t="s">
        <v>235</v>
      </c>
      <c r="C69" s="6" t="n">
        <v>19118479</v>
      </c>
      <c r="D69" s="0" t="s">
        <v>236</v>
      </c>
      <c r="E69" s="0" t="s">
        <v>52</v>
      </c>
      <c r="F69" s="0" t="s">
        <v>53</v>
      </c>
      <c r="G69" s="7" t="n">
        <f aca="false">C69/SUM($C$3:$C$239)</f>
        <v>0.00236294177177812</v>
      </c>
    </row>
    <row r="70" customFormat="false" ht="15" hidden="false" customHeight="false" outlineLevel="0" collapsed="false">
      <c r="A70" s="0" t="s">
        <v>237</v>
      </c>
      <c r="B70" s="0" t="s">
        <v>238</v>
      </c>
      <c r="C70" s="6" t="n">
        <v>18358615</v>
      </c>
      <c r="D70" s="0" t="s">
        <v>158</v>
      </c>
      <c r="E70" s="0" t="s">
        <v>40</v>
      </c>
      <c r="F70" s="0" t="s">
        <v>61</v>
      </c>
      <c r="G70" s="7" t="n">
        <f aca="false">C70/SUM($C$3:$C$239)</f>
        <v>0.00226902664461395</v>
      </c>
    </row>
    <row r="71" customFormat="false" ht="15" hidden="false" customHeight="false" outlineLevel="0" collapsed="false">
      <c r="A71" s="0" t="s">
        <v>239</v>
      </c>
      <c r="B71" s="0" t="s">
        <v>240</v>
      </c>
      <c r="C71" s="6" t="n">
        <v>18124838</v>
      </c>
      <c r="D71" s="0" t="s">
        <v>241</v>
      </c>
      <c r="E71" s="0" t="s">
        <v>28</v>
      </c>
      <c r="F71" s="0" t="s">
        <v>57</v>
      </c>
      <c r="G71" s="7" t="n">
        <f aca="false">C71/SUM($C$3:$C$239)</f>
        <v>0.00224013305749434</v>
      </c>
    </row>
    <row r="72" customFormat="false" ht="15" hidden="false" customHeight="false" outlineLevel="0" collapsed="false">
      <c r="A72" s="0" t="s">
        <v>242</v>
      </c>
      <c r="B72" s="0" t="s">
        <v>243</v>
      </c>
      <c r="C72" s="6" t="n">
        <v>18092524</v>
      </c>
      <c r="D72" s="0" t="s">
        <v>244</v>
      </c>
      <c r="E72" s="0" t="s">
        <v>52</v>
      </c>
      <c r="F72" s="0" t="s">
        <v>89</v>
      </c>
      <c r="G72" s="7" t="n">
        <f aca="false">C72/SUM($C$3:$C$239)</f>
        <v>0.00223613921988764</v>
      </c>
    </row>
    <row r="73" customFormat="false" ht="15" hidden="false" customHeight="false" outlineLevel="0" collapsed="false">
      <c r="A73" s="0" t="s">
        <v>245</v>
      </c>
      <c r="B73" s="0" t="s">
        <v>246</v>
      </c>
      <c r="C73" s="6" t="n">
        <v>18077573</v>
      </c>
      <c r="D73" s="0" t="s">
        <v>247</v>
      </c>
      <c r="E73" s="0" t="s">
        <v>40</v>
      </c>
      <c r="F73" s="0" t="s">
        <v>41</v>
      </c>
      <c r="G73" s="7" t="n">
        <f aca="false">C73/SUM($C$3:$C$239)</f>
        <v>0.00223429135623541</v>
      </c>
    </row>
    <row r="74" customFormat="false" ht="15" hidden="false" customHeight="false" outlineLevel="0" collapsed="false">
      <c r="A74" s="0" t="s">
        <v>248</v>
      </c>
      <c r="B74" s="0" t="s">
        <v>249</v>
      </c>
      <c r="C74" s="6" t="n">
        <v>17980083</v>
      </c>
      <c r="D74" s="0" t="s">
        <v>56</v>
      </c>
      <c r="E74" s="0" t="s">
        <v>28</v>
      </c>
      <c r="F74" s="0" t="s">
        <v>45</v>
      </c>
      <c r="G74" s="7" t="n">
        <f aca="false">C74/SUM($C$3:$C$239)</f>
        <v>0.00222224211354562</v>
      </c>
    </row>
    <row r="75" customFormat="false" ht="15" hidden="false" customHeight="false" outlineLevel="0" collapsed="false">
      <c r="A75" s="0" t="s">
        <v>250</v>
      </c>
      <c r="B75" s="0" t="s">
        <v>251</v>
      </c>
      <c r="C75" s="6" t="n">
        <v>17423880</v>
      </c>
      <c r="D75" s="0" t="s">
        <v>252</v>
      </c>
      <c r="E75" s="0" t="s">
        <v>19</v>
      </c>
      <c r="F75" s="0" t="s">
        <v>33</v>
      </c>
      <c r="G75" s="7" t="n">
        <f aca="false">C75/SUM($C$3:$C$239)</f>
        <v>0.00215349839694096</v>
      </c>
    </row>
    <row r="76" customFormat="false" ht="15" hidden="false" customHeight="false" outlineLevel="0" collapsed="false">
      <c r="A76" s="0" t="s">
        <v>253</v>
      </c>
      <c r="B76" s="0" t="s">
        <v>254</v>
      </c>
      <c r="C76" s="6" t="n">
        <v>16340822</v>
      </c>
      <c r="D76" s="0" t="s">
        <v>255</v>
      </c>
      <c r="E76" s="0" t="s">
        <v>40</v>
      </c>
      <c r="F76" s="0" t="s">
        <v>61</v>
      </c>
      <c r="G76" s="7" t="n">
        <f aca="false">C76/SUM($C$3:$C$239)</f>
        <v>0.00201963821959848</v>
      </c>
    </row>
    <row r="77" customFormat="false" ht="15" hidden="false" customHeight="false" outlineLevel="0" collapsed="false">
      <c r="A77" s="0" t="s">
        <v>256</v>
      </c>
      <c r="B77" s="0" t="s">
        <v>257</v>
      </c>
      <c r="C77" s="6" t="n">
        <v>14405465</v>
      </c>
      <c r="D77" s="0" t="s">
        <v>180</v>
      </c>
      <c r="E77" s="0" t="s">
        <v>40</v>
      </c>
      <c r="F77" s="0" t="s">
        <v>41</v>
      </c>
      <c r="G77" s="7" t="n">
        <f aca="false">C77/SUM($C$3:$C$239)</f>
        <v>0.00178043844337134</v>
      </c>
    </row>
    <row r="78" customFormat="false" ht="15" hidden="false" customHeight="false" outlineLevel="0" collapsed="false">
      <c r="A78" s="0" t="s">
        <v>258</v>
      </c>
      <c r="B78" s="0" t="s">
        <v>259</v>
      </c>
      <c r="C78" s="6" t="n">
        <v>14111034</v>
      </c>
      <c r="D78" s="0" t="s">
        <v>260</v>
      </c>
      <c r="E78" s="0" t="s">
        <v>40</v>
      </c>
      <c r="F78" s="0" t="s">
        <v>41</v>
      </c>
      <c r="G78" s="7" t="n">
        <f aca="false">C78/SUM($C$3:$C$239)</f>
        <v>0.00174404834618807</v>
      </c>
    </row>
    <row r="79" customFormat="false" ht="15" hidden="false" customHeight="false" outlineLevel="0" collapsed="false">
      <c r="A79" s="0" t="s">
        <v>261</v>
      </c>
      <c r="B79" s="0" t="s">
        <v>262</v>
      </c>
      <c r="C79" s="6" t="n">
        <v>13954471</v>
      </c>
      <c r="D79" s="0" t="s">
        <v>263</v>
      </c>
      <c r="E79" s="0" t="s">
        <v>40</v>
      </c>
      <c r="F79" s="0" t="s">
        <v>61</v>
      </c>
      <c r="G79" s="7" t="n">
        <f aca="false">C79/SUM($C$3:$C$239)</f>
        <v>0.0017246979965805</v>
      </c>
    </row>
    <row r="80" customFormat="false" ht="15" hidden="false" customHeight="false" outlineLevel="0" collapsed="false">
      <c r="A80" s="0" t="s">
        <v>264</v>
      </c>
      <c r="B80" s="0" t="s">
        <v>265</v>
      </c>
      <c r="C80" s="6" t="n">
        <v>13689450</v>
      </c>
      <c r="D80" s="0" t="s">
        <v>266</v>
      </c>
      <c r="E80" s="0" t="s">
        <v>40</v>
      </c>
      <c r="F80" s="0" t="s">
        <v>61</v>
      </c>
      <c r="G80" s="7" t="n">
        <f aca="false">C80/SUM($C$3:$C$239)</f>
        <v>0.00169194281813255</v>
      </c>
    </row>
    <row r="81" customFormat="false" ht="15" hidden="false" customHeight="false" outlineLevel="0" collapsed="false">
      <c r="A81" s="0" t="s">
        <v>267</v>
      </c>
      <c r="B81" s="0" t="s">
        <v>268</v>
      </c>
      <c r="C81" s="6" t="n">
        <v>12244159</v>
      </c>
      <c r="D81" s="0" t="s">
        <v>269</v>
      </c>
      <c r="E81" s="0" t="s">
        <v>28</v>
      </c>
      <c r="F81" s="0" t="s">
        <v>45</v>
      </c>
      <c r="G81" s="7" t="n">
        <f aca="false">C81/SUM($C$3:$C$239)</f>
        <v>0.00151331257896577</v>
      </c>
    </row>
    <row r="82" customFormat="false" ht="15" hidden="false" customHeight="false" outlineLevel="0" collapsed="false">
      <c r="A82" s="0" t="s">
        <v>270</v>
      </c>
      <c r="B82" s="0" t="s">
        <v>271</v>
      </c>
      <c r="C82" s="6" t="n">
        <v>12200431</v>
      </c>
      <c r="D82" s="0" t="s">
        <v>78</v>
      </c>
      <c r="E82" s="0" t="s">
        <v>40</v>
      </c>
      <c r="F82" s="0" t="s">
        <v>71</v>
      </c>
      <c r="G82" s="7" t="n">
        <f aca="false">C82/SUM($C$3:$C$239)</f>
        <v>0.00150790803199338</v>
      </c>
    </row>
    <row r="83" customFormat="false" ht="15" hidden="false" customHeight="false" outlineLevel="0" collapsed="false">
      <c r="A83" s="0" t="s">
        <v>272</v>
      </c>
      <c r="B83" s="0" t="s">
        <v>273</v>
      </c>
      <c r="C83" s="6" t="n">
        <v>11712893</v>
      </c>
      <c r="D83" s="0" t="s">
        <v>274</v>
      </c>
      <c r="E83" s="0" t="s">
        <v>52</v>
      </c>
      <c r="F83" s="0" t="s">
        <v>89</v>
      </c>
      <c r="G83" s="7" t="n">
        <f aca="false">C83/SUM($C$3:$C$239)</f>
        <v>0.00144765094221499</v>
      </c>
    </row>
    <row r="84" customFormat="false" ht="15" hidden="false" customHeight="false" outlineLevel="0" collapsed="false">
      <c r="A84" s="0" t="s">
        <v>275</v>
      </c>
      <c r="B84" s="0" t="s">
        <v>276</v>
      </c>
      <c r="C84" s="6" t="n">
        <v>11637398</v>
      </c>
      <c r="D84" s="0" t="s">
        <v>277</v>
      </c>
      <c r="E84" s="0" t="s">
        <v>28</v>
      </c>
      <c r="F84" s="0" t="s">
        <v>278</v>
      </c>
      <c r="G84" s="7" t="n">
        <f aca="false">C84/SUM($C$3:$C$239)</f>
        <v>0.0014383201639109</v>
      </c>
    </row>
    <row r="85" customFormat="false" ht="15" hidden="false" customHeight="false" outlineLevel="0" collapsed="false">
      <c r="A85" s="0" t="s">
        <v>279</v>
      </c>
      <c r="B85" s="0" t="s">
        <v>280</v>
      </c>
      <c r="C85" s="6" t="n">
        <v>11483374</v>
      </c>
      <c r="D85" s="0" t="s">
        <v>281</v>
      </c>
      <c r="E85" s="0" t="s">
        <v>40</v>
      </c>
      <c r="F85" s="0" t="s">
        <v>61</v>
      </c>
      <c r="G85" s="7" t="n">
        <f aca="false">C85/SUM($C$3:$C$239)</f>
        <v>0.00141928362112649</v>
      </c>
    </row>
    <row r="86" customFormat="false" ht="15" hidden="false" customHeight="false" outlineLevel="0" collapsed="false">
      <c r="A86" s="0" t="s">
        <v>282</v>
      </c>
      <c r="B86" s="0" t="s">
        <v>283</v>
      </c>
      <c r="C86" s="6" t="n">
        <v>11439213</v>
      </c>
      <c r="D86" s="0" t="s">
        <v>284</v>
      </c>
      <c r="E86" s="0" t="s">
        <v>19</v>
      </c>
      <c r="F86" s="0" t="s">
        <v>85</v>
      </c>
      <c r="G86" s="7" t="n">
        <f aca="false">C86/SUM($C$3:$C$239)</f>
        <v>0.00141382555766948</v>
      </c>
    </row>
    <row r="87" customFormat="false" ht="15" hidden="false" customHeight="false" outlineLevel="0" collapsed="false">
      <c r="A87" s="0" t="s">
        <v>285</v>
      </c>
      <c r="B87" s="0" t="s">
        <v>286</v>
      </c>
      <c r="C87" s="6" t="n">
        <v>11331265</v>
      </c>
      <c r="D87" s="0" t="s">
        <v>287</v>
      </c>
      <c r="E87" s="0" t="s">
        <v>28</v>
      </c>
      <c r="F87" s="0" t="s">
        <v>278</v>
      </c>
      <c r="G87" s="7" t="n">
        <f aca="false">C87/SUM($C$3:$C$239)</f>
        <v>0.00140048376210196</v>
      </c>
    </row>
    <row r="88" customFormat="false" ht="15" hidden="false" customHeight="false" outlineLevel="0" collapsed="false">
      <c r="A88" s="0" t="s">
        <v>288</v>
      </c>
      <c r="B88" s="0" t="s">
        <v>289</v>
      </c>
      <c r="C88" s="6" t="n">
        <v>11019931</v>
      </c>
      <c r="D88" s="0" t="s">
        <v>290</v>
      </c>
      <c r="E88" s="0" t="s">
        <v>28</v>
      </c>
      <c r="F88" s="0" t="s">
        <v>278</v>
      </c>
      <c r="G88" s="7" t="n">
        <f aca="false">C88/SUM($C$3:$C$239)</f>
        <v>0.00136200454450444</v>
      </c>
    </row>
    <row r="89" customFormat="false" ht="15" hidden="false" customHeight="false" outlineLevel="0" collapsed="false">
      <c r="A89" s="0" t="s">
        <v>291</v>
      </c>
      <c r="B89" s="0" t="s">
        <v>292</v>
      </c>
      <c r="C89" s="6" t="n">
        <v>10809716</v>
      </c>
      <c r="D89" s="0" t="s">
        <v>293</v>
      </c>
      <c r="E89" s="0" t="s">
        <v>52</v>
      </c>
      <c r="F89" s="0" t="s">
        <v>53</v>
      </c>
      <c r="G89" s="7" t="n">
        <f aca="false">C89/SUM($C$3:$C$239)</f>
        <v>0.00133602309459127</v>
      </c>
    </row>
    <row r="90" customFormat="false" ht="15" hidden="false" customHeight="false" outlineLevel="0" collapsed="false">
      <c r="A90" s="0" t="s">
        <v>294</v>
      </c>
      <c r="B90" s="0" t="s">
        <v>295</v>
      </c>
      <c r="C90" s="6" t="n">
        <v>10644851</v>
      </c>
      <c r="D90" s="0" t="s">
        <v>296</v>
      </c>
      <c r="E90" s="0" t="s">
        <v>28</v>
      </c>
      <c r="F90" s="0" t="s">
        <v>57</v>
      </c>
      <c r="G90" s="7" t="n">
        <f aca="false">C90/SUM($C$3:$C$239)</f>
        <v>0.00131564666217716</v>
      </c>
    </row>
    <row r="91" customFormat="false" ht="15" hidden="false" customHeight="false" outlineLevel="0" collapsed="false">
      <c r="A91" s="0" t="s">
        <v>297</v>
      </c>
      <c r="B91" s="0" t="s">
        <v>298</v>
      </c>
      <c r="C91" s="6" t="n">
        <v>10642081</v>
      </c>
      <c r="D91" s="0" t="s">
        <v>299</v>
      </c>
      <c r="E91" s="0" t="s">
        <v>19</v>
      </c>
      <c r="F91" s="0" t="s">
        <v>85</v>
      </c>
      <c r="G91" s="7" t="n">
        <f aca="false">C91/SUM($C$3:$C$239)</f>
        <v>0.00131530430498923</v>
      </c>
    </row>
    <row r="92" customFormat="false" ht="15" hidden="false" customHeight="false" outlineLevel="0" collapsed="false">
      <c r="A92" s="0" t="s">
        <v>300</v>
      </c>
      <c r="B92" s="0" t="s">
        <v>301</v>
      </c>
      <c r="C92" s="6" t="n">
        <v>10551494</v>
      </c>
      <c r="D92" s="0" t="s">
        <v>274</v>
      </c>
      <c r="E92" s="0" t="s">
        <v>52</v>
      </c>
      <c r="F92" s="0" t="s">
        <v>96</v>
      </c>
      <c r="G92" s="7" t="n">
        <f aca="false">C92/SUM($C$3:$C$239)</f>
        <v>0.0013041082361869</v>
      </c>
    </row>
    <row r="93" customFormat="false" ht="15" hidden="false" customHeight="false" outlineLevel="0" collapsed="false">
      <c r="A93" s="0" t="s">
        <v>302</v>
      </c>
      <c r="B93" s="0" t="s">
        <v>303</v>
      </c>
      <c r="C93" s="6" t="n">
        <v>10430738</v>
      </c>
      <c r="D93" s="0" t="s">
        <v>304</v>
      </c>
      <c r="E93" s="0" t="s">
        <v>52</v>
      </c>
      <c r="F93" s="0" t="s">
        <v>109</v>
      </c>
      <c r="G93" s="7" t="n">
        <f aca="false">C93/SUM($C$3:$C$239)</f>
        <v>0.00128918344030785</v>
      </c>
    </row>
    <row r="94" customFormat="false" ht="15" hidden="false" customHeight="false" outlineLevel="0" collapsed="false">
      <c r="A94" s="0" t="s">
        <v>305</v>
      </c>
      <c r="B94" s="0" t="s">
        <v>306</v>
      </c>
      <c r="C94" s="6" t="n">
        <v>10389799</v>
      </c>
      <c r="D94" s="0" t="s">
        <v>161</v>
      </c>
      <c r="E94" s="0" t="s">
        <v>19</v>
      </c>
      <c r="F94" s="0" t="s">
        <v>162</v>
      </c>
      <c r="G94" s="7" t="n">
        <f aca="false">C94/SUM($C$3:$C$239)</f>
        <v>0.00128412359882178</v>
      </c>
    </row>
    <row r="95" customFormat="false" ht="15" hidden="false" customHeight="false" outlineLevel="0" collapsed="false">
      <c r="A95" s="0" t="s">
        <v>307</v>
      </c>
      <c r="B95" s="0" t="s">
        <v>308</v>
      </c>
      <c r="C95" s="6" t="n">
        <v>10389635</v>
      </c>
      <c r="D95" s="0" t="s">
        <v>309</v>
      </c>
      <c r="E95" s="0" t="s">
        <v>196</v>
      </c>
      <c r="F95" s="0" t="s">
        <v>310</v>
      </c>
      <c r="G95" s="7" t="n">
        <f aca="false">C95/SUM($C$3:$C$239)</f>
        <v>0.00128410332929874</v>
      </c>
    </row>
    <row r="96" customFormat="false" ht="15" hidden="false" customHeight="false" outlineLevel="0" collapsed="false">
      <c r="A96" s="0" t="s">
        <v>311</v>
      </c>
      <c r="B96" s="0" t="s">
        <v>312</v>
      </c>
      <c r="C96" s="6" t="n">
        <v>10318207</v>
      </c>
      <c r="D96" s="0" t="s">
        <v>313</v>
      </c>
      <c r="E96" s="0" t="s">
        <v>19</v>
      </c>
      <c r="F96" s="0" t="s">
        <v>85</v>
      </c>
      <c r="G96" s="7" t="n">
        <f aca="false">C96/SUM($C$3:$C$239)</f>
        <v>0.0012752752104471</v>
      </c>
    </row>
    <row r="97" customFormat="false" ht="15" hidden="false" customHeight="false" outlineLevel="0" collapsed="false">
      <c r="A97" s="0" t="s">
        <v>314</v>
      </c>
      <c r="B97" s="0" t="s">
        <v>315</v>
      </c>
      <c r="C97" s="6" t="n">
        <v>10242908</v>
      </c>
      <c r="D97" s="0" t="s">
        <v>316</v>
      </c>
      <c r="E97" s="0" t="s">
        <v>52</v>
      </c>
      <c r="F97" s="0" t="s">
        <v>109</v>
      </c>
      <c r="G97" s="7" t="n">
        <f aca="false">C97/SUM($C$3:$C$239)</f>
        <v>0.00126596865669493</v>
      </c>
    </row>
    <row r="98" customFormat="false" ht="15" hidden="false" customHeight="false" outlineLevel="0" collapsed="false">
      <c r="A98" s="0" t="s">
        <v>317</v>
      </c>
      <c r="B98" s="0" t="s">
        <v>318</v>
      </c>
      <c r="C98" s="6" t="n">
        <v>9686463</v>
      </c>
      <c r="D98" s="0" t="s">
        <v>319</v>
      </c>
      <c r="E98" s="0" t="s">
        <v>52</v>
      </c>
      <c r="F98" s="0" t="s">
        <v>53</v>
      </c>
      <c r="G98" s="7" t="n">
        <f aca="false">C98/SUM($C$3:$C$239)</f>
        <v>0.00119719503018432</v>
      </c>
    </row>
    <row r="99" customFormat="false" ht="15" hidden="false" customHeight="false" outlineLevel="0" collapsed="false">
      <c r="A99" s="0" t="s">
        <v>320</v>
      </c>
      <c r="B99" s="0" t="s">
        <v>321</v>
      </c>
      <c r="C99" s="6" t="n">
        <v>9304337</v>
      </c>
      <c r="D99" s="0" t="s">
        <v>322</v>
      </c>
      <c r="E99" s="0" t="s">
        <v>40</v>
      </c>
      <c r="F99" s="0" t="s">
        <v>41</v>
      </c>
      <c r="G99" s="7" t="n">
        <f aca="false">C99/SUM($C$3:$C$239)</f>
        <v>0.00114996629993425</v>
      </c>
    </row>
    <row r="100" customFormat="false" ht="15" hidden="false" customHeight="false" outlineLevel="0" collapsed="false">
      <c r="A100" s="0" t="s">
        <v>323</v>
      </c>
      <c r="B100" s="0" t="s">
        <v>324</v>
      </c>
      <c r="C100" s="6" t="n">
        <v>9256314</v>
      </c>
      <c r="D100" s="0" t="s">
        <v>325</v>
      </c>
      <c r="E100" s="0" t="s">
        <v>19</v>
      </c>
      <c r="F100" s="0" t="s">
        <v>85</v>
      </c>
      <c r="G100" s="7" t="n">
        <f aca="false">C100/SUM($C$3:$C$239)</f>
        <v>0.00114403091392859</v>
      </c>
    </row>
    <row r="101" customFormat="false" ht="15" hidden="false" customHeight="false" outlineLevel="0" collapsed="false">
      <c r="A101" s="0" t="s">
        <v>326</v>
      </c>
      <c r="B101" s="0" t="s">
        <v>327</v>
      </c>
      <c r="C101" s="6" t="n">
        <v>9130429</v>
      </c>
      <c r="D101" s="0" t="s">
        <v>328</v>
      </c>
      <c r="E101" s="0" t="s">
        <v>52</v>
      </c>
      <c r="F101" s="0" t="s">
        <v>89</v>
      </c>
      <c r="G101" s="7" t="n">
        <f aca="false">C101/SUM($C$3:$C$239)</f>
        <v>0.00112847220107595</v>
      </c>
    </row>
    <row r="102" customFormat="false" ht="15" hidden="false" customHeight="false" outlineLevel="0" collapsed="false">
      <c r="A102" s="0" t="s">
        <v>329</v>
      </c>
      <c r="B102" s="0" t="s">
        <v>330</v>
      </c>
      <c r="C102" s="6" t="n">
        <v>9115680</v>
      </c>
      <c r="D102" s="0" t="s">
        <v>331</v>
      </c>
      <c r="E102" s="0" t="s">
        <v>52</v>
      </c>
      <c r="F102" s="0" t="s">
        <v>53</v>
      </c>
      <c r="G102" s="7" t="n">
        <f aca="false">C102/SUM($C$3:$C$239)</f>
        <v>0.00112664930354357</v>
      </c>
    </row>
    <row r="103" customFormat="false" ht="15" hidden="false" customHeight="false" outlineLevel="0" collapsed="false">
      <c r="A103" s="0" t="s">
        <v>332</v>
      </c>
      <c r="B103" s="0" t="s">
        <v>333</v>
      </c>
      <c r="C103" s="6" t="n">
        <v>8870561</v>
      </c>
      <c r="D103" s="0" t="s">
        <v>18</v>
      </c>
      <c r="E103" s="0" t="s">
        <v>52</v>
      </c>
      <c r="F103" s="0" t="s">
        <v>89</v>
      </c>
      <c r="G103" s="7" t="n">
        <f aca="false">C103/SUM($C$3:$C$239)</f>
        <v>0.00109635390587326</v>
      </c>
    </row>
    <row r="104" customFormat="false" ht="15" hidden="false" customHeight="false" outlineLevel="0" collapsed="false">
      <c r="A104" s="0" t="s">
        <v>334</v>
      </c>
      <c r="B104" s="0" t="s">
        <v>335</v>
      </c>
      <c r="C104" s="6" t="n">
        <v>8460512</v>
      </c>
      <c r="D104" s="0" t="s">
        <v>263</v>
      </c>
      <c r="E104" s="0" t="s">
        <v>40</v>
      </c>
      <c r="F104" s="0" t="s">
        <v>41</v>
      </c>
      <c r="G104" s="7" t="n">
        <f aca="false">C104/SUM($C$3:$C$239)</f>
        <v>0.00104567404213641</v>
      </c>
    </row>
    <row r="105" customFormat="false" ht="15" hidden="false" customHeight="false" outlineLevel="0" collapsed="false">
      <c r="A105" s="0" t="s">
        <v>336</v>
      </c>
      <c r="B105" s="0" t="s">
        <v>337</v>
      </c>
      <c r="C105" s="6" t="n">
        <v>7664993</v>
      </c>
      <c r="D105" s="0" t="s">
        <v>338</v>
      </c>
      <c r="E105" s="0" t="s">
        <v>19</v>
      </c>
      <c r="F105" s="0" t="s">
        <v>33</v>
      </c>
      <c r="G105" s="7" t="n">
        <f aca="false">C105/SUM($C$3:$C$239)</f>
        <v>0.000947352147630932</v>
      </c>
    </row>
    <row r="106" customFormat="false" ht="15" hidden="false" customHeight="false" outlineLevel="0" collapsed="false">
      <c r="A106" s="0" t="s">
        <v>339</v>
      </c>
      <c r="B106" s="0" t="s">
        <v>340</v>
      </c>
      <c r="C106" s="6" t="n">
        <v>7442734</v>
      </c>
      <c r="D106" s="0" t="s">
        <v>341</v>
      </c>
      <c r="E106" s="0" t="s">
        <v>19</v>
      </c>
      <c r="F106" s="0" t="s">
        <v>24</v>
      </c>
      <c r="G106" s="7" t="n">
        <f aca="false">C106/SUM($C$3:$C$239)</f>
        <v>0.000919882123720891</v>
      </c>
    </row>
    <row r="107" customFormat="false" ht="15" hidden="false" customHeight="false" outlineLevel="0" collapsed="false">
      <c r="A107" s="0" t="s">
        <v>342</v>
      </c>
      <c r="B107" s="0" t="s">
        <v>343</v>
      </c>
      <c r="C107" s="6" t="n">
        <v>7364438</v>
      </c>
      <c r="D107" s="0" t="s">
        <v>344</v>
      </c>
      <c r="E107" s="0" t="s">
        <v>19</v>
      </c>
      <c r="F107" s="0" t="s">
        <v>162</v>
      </c>
      <c r="G107" s="7" t="n">
        <f aca="false">C107/SUM($C$3:$C$239)</f>
        <v>0.000910205156794644</v>
      </c>
    </row>
    <row r="108" customFormat="false" ht="15" hidden="false" customHeight="false" outlineLevel="0" collapsed="false">
      <c r="A108" s="0" t="s">
        <v>345</v>
      </c>
      <c r="B108" s="0" t="s">
        <v>346</v>
      </c>
      <c r="C108" s="6" t="n">
        <v>7305659</v>
      </c>
      <c r="D108" s="0" t="s">
        <v>118</v>
      </c>
      <c r="E108" s="0" t="s">
        <v>40</v>
      </c>
      <c r="F108" s="0" t="s">
        <v>71</v>
      </c>
      <c r="G108" s="7" t="n">
        <f aca="false">C108/SUM($C$3:$C$239)</f>
        <v>0.000902940386704756</v>
      </c>
    </row>
    <row r="109" customFormat="false" ht="15" hidden="false" customHeight="false" outlineLevel="0" collapsed="false">
      <c r="A109" s="0" t="s">
        <v>347</v>
      </c>
      <c r="B109" s="0" t="s">
        <v>348</v>
      </c>
      <c r="C109" s="6" t="n">
        <v>7073516</v>
      </c>
      <c r="D109" s="0" t="s">
        <v>255</v>
      </c>
      <c r="E109" s="0" t="s">
        <v>19</v>
      </c>
      <c r="F109" s="0" t="s">
        <v>162</v>
      </c>
      <c r="G109" s="7" t="n">
        <f aca="false">C109/SUM($C$3:$C$239)</f>
        <v>0.000874248753247624</v>
      </c>
    </row>
    <row r="110" customFormat="false" ht="15" hidden="false" customHeight="false" outlineLevel="0" collapsed="false">
      <c r="A110" s="0" t="s">
        <v>349</v>
      </c>
      <c r="B110" s="0" t="s">
        <v>350</v>
      </c>
      <c r="C110" s="6" t="n">
        <v>6844146</v>
      </c>
      <c r="D110" s="0" t="s">
        <v>165</v>
      </c>
      <c r="E110" s="0" t="s">
        <v>28</v>
      </c>
      <c r="F110" s="0" t="s">
        <v>45</v>
      </c>
      <c r="G110" s="7" t="n">
        <f aca="false">C110/SUM($C$3:$C$239)</f>
        <v>0.000845899847762373</v>
      </c>
    </row>
    <row r="111" customFormat="false" ht="15" hidden="false" customHeight="false" outlineLevel="0" collapsed="false">
      <c r="A111" s="0" t="s">
        <v>351</v>
      </c>
      <c r="B111" s="0" t="s">
        <v>352</v>
      </c>
      <c r="C111" s="6" t="n">
        <v>6823613</v>
      </c>
      <c r="D111" s="0" t="s">
        <v>269</v>
      </c>
      <c r="E111" s="0" t="s">
        <v>28</v>
      </c>
      <c r="F111" s="0" t="s">
        <v>57</v>
      </c>
      <c r="G111" s="7" t="n">
        <f aca="false">C111/SUM($C$3:$C$239)</f>
        <v>0.000843362078758891</v>
      </c>
    </row>
    <row r="112" customFormat="false" ht="15" hidden="false" customHeight="false" outlineLevel="0" collapsed="false">
      <c r="A112" s="0" t="s">
        <v>353</v>
      </c>
      <c r="B112" s="0" t="s">
        <v>354</v>
      </c>
      <c r="C112" s="6" t="n">
        <v>6795803</v>
      </c>
      <c r="D112" s="0" t="s">
        <v>212</v>
      </c>
      <c r="E112" s="0" t="s">
        <v>52</v>
      </c>
      <c r="F112" s="0" t="s">
        <v>53</v>
      </c>
      <c r="G112" s="7" t="n">
        <f aca="false">C112/SUM($C$3:$C$239)</f>
        <v>0.000839924911467856</v>
      </c>
    </row>
    <row r="113" customFormat="false" ht="15" hidden="false" customHeight="false" outlineLevel="0" collapsed="false">
      <c r="A113" s="0" t="s">
        <v>355</v>
      </c>
      <c r="B113" s="0" t="s">
        <v>356</v>
      </c>
      <c r="C113" s="6" t="n">
        <v>6773201</v>
      </c>
      <c r="D113" s="0" t="s">
        <v>357</v>
      </c>
      <c r="E113" s="0" t="s">
        <v>52</v>
      </c>
      <c r="F113" s="0" t="s">
        <v>109</v>
      </c>
      <c r="G113" s="7" t="n">
        <f aca="false">C113/SUM($C$3:$C$239)</f>
        <v>0.000837131425127979</v>
      </c>
    </row>
    <row r="114" customFormat="false" ht="15" hidden="false" customHeight="false" outlineLevel="0" collapsed="false">
      <c r="A114" s="0" t="s">
        <v>358</v>
      </c>
      <c r="B114" s="0" t="s">
        <v>359</v>
      </c>
      <c r="C114" s="6" t="n">
        <v>6309624</v>
      </c>
      <c r="D114" s="0" t="s">
        <v>360</v>
      </c>
      <c r="E114" s="0" t="s">
        <v>28</v>
      </c>
      <c r="F114" s="0" t="s">
        <v>57</v>
      </c>
      <c r="G114" s="7" t="n">
        <f aca="false">C114/SUM($C$3:$C$239)</f>
        <v>0.000779835786822463</v>
      </c>
    </row>
    <row r="115" customFormat="false" ht="15" hidden="false" customHeight="false" outlineLevel="0" collapsed="false">
      <c r="A115" s="0" t="s">
        <v>361</v>
      </c>
      <c r="B115" s="0" t="s">
        <v>362</v>
      </c>
      <c r="C115" s="6" t="n">
        <v>6182885</v>
      </c>
      <c r="D115" s="0" t="s">
        <v>363</v>
      </c>
      <c r="E115" s="0" t="s">
        <v>40</v>
      </c>
      <c r="F115" s="0" t="s">
        <v>75</v>
      </c>
      <c r="G115" s="7" t="n">
        <f aca="false">C115/SUM($C$3:$C$239)</f>
        <v>0.000764171524136431</v>
      </c>
    </row>
    <row r="116" customFormat="false" ht="15" hidden="false" customHeight="false" outlineLevel="0" collapsed="false">
      <c r="A116" s="0" t="s">
        <v>364</v>
      </c>
      <c r="B116" s="0" t="s">
        <v>365</v>
      </c>
      <c r="C116" s="6" t="n">
        <v>5948136</v>
      </c>
      <c r="D116" s="0" t="s">
        <v>366</v>
      </c>
      <c r="E116" s="0" t="s">
        <v>52</v>
      </c>
      <c r="F116" s="0" t="s">
        <v>96</v>
      </c>
      <c r="G116" s="7" t="n">
        <f aca="false">C116/SUM($C$3:$C$239)</f>
        <v>0.000735157803014414</v>
      </c>
    </row>
    <row r="117" customFormat="false" ht="15" hidden="false" customHeight="false" outlineLevel="0" collapsed="false">
      <c r="A117" s="0" t="s">
        <v>367</v>
      </c>
      <c r="B117" s="0" t="s">
        <v>368</v>
      </c>
      <c r="C117" s="6" t="n">
        <v>5789090</v>
      </c>
      <c r="D117" s="0" t="s">
        <v>369</v>
      </c>
      <c r="E117" s="0" t="s">
        <v>19</v>
      </c>
      <c r="F117" s="0" t="s">
        <v>33</v>
      </c>
      <c r="G117" s="7" t="n">
        <f aca="false">C117/SUM($C$3:$C$239)</f>
        <v>0.000715500567884244</v>
      </c>
    </row>
    <row r="118" customFormat="false" ht="15" hidden="false" customHeight="false" outlineLevel="0" collapsed="false">
      <c r="A118" s="0" t="s">
        <v>370</v>
      </c>
      <c r="B118" s="0" t="s">
        <v>371</v>
      </c>
      <c r="C118" s="6" t="n">
        <v>5733493</v>
      </c>
      <c r="D118" s="0" t="s">
        <v>372</v>
      </c>
      <c r="E118" s="0" t="s">
        <v>19</v>
      </c>
      <c r="F118" s="0" t="s">
        <v>85</v>
      </c>
      <c r="G118" s="7" t="n">
        <f aca="false">C118/SUM($C$3:$C$239)</f>
        <v>0.000708629075979185</v>
      </c>
    </row>
    <row r="119" customFormat="false" ht="15" hidden="false" customHeight="false" outlineLevel="0" collapsed="false">
      <c r="A119" s="0" t="s">
        <v>373</v>
      </c>
      <c r="B119" s="0" t="s">
        <v>374</v>
      </c>
      <c r="C119" s="6" t="n">
        <v>5601185</v>
      </c>
      <c r="D119" s="0" t="s">
        <v>27</v>
      </c>
      <c r="E119" s="0" t="s">
        <v>52</v>
      </c>
      <c r="F119" s="0" t="s">
        <v>96</v>
      </c>
      <c r="G119" s="7" t="n">
        <f aca="false">C119/SUM($C$3:$C$239)</f>
        <v>0.000692276514672377</v>
      </c>
    </row>
    <row r="120" customFormat="false" ht="15" hidden="false" customHeight="false" outlineLevel="0" collapsed="false">
      <c r="A120" s="0" t="s">
        <v>375</v>
      </c>
      <c r="B120" s="0" t="s">
        <v>376</v>
      </c>
      <c r="C120" s="6" t="n">
        <v>5519167</v>
      </c>
      <c r="D120" s="0" t="s">
        <v>377</v>
      </c>
      <c r="E120" s="0" t="s">
        <v>52</v>
      </c>
      <c r="F120" s="0" t="s">
        <v>96</v>
      </c>
      <c r="G120" s="7" t="n">
        <f aca="false">C120/SUM($C$3:$C$239)</f>
        <v>0.000682139528448855</v>
      </c>
    </row>
    <row r="121" customFormat="false" ht="15" hidden="false" customHeight="false" outlineLevel="0" collapsed="false">
      <c r="A121" s="0" t="s">
        <v>378</v>
      </c>
      <c r="B121" s="0" t="s">
        <v>379</v>
      </c>
      <c r="C121" s="6" t="n">
        <v>5518055</v>
      </c>
      <c r="D121" s="0" t="s">
        <v>380</v>
      </c>
      <c r="E121" s="0" t="s">
        <v>52</v>
      </c>
      <c r="F121" s="0" t="s">
        <v>53</v>
      </c>
      <c r="G121" s="7" t="n">
        <f aca="false">C121/SUM($C$3:$C$239)</f>
        <v>0.000682002091195074</v>
      </c>
    </row>
    <row r="122" customFormat="false" ht="15" hidden="false" customHeight="false" outlineLevel="0" collapsed="false">
      <c r="A122" s="0" t="s">
        <v>381</v>
      </c>
      <c r="B122" s="0" t="s">
        <v>382</v>
      </c>
      <c r="C122" s="6" t="n">
        <v>5493031</v>
      </c>
      <c r="D122" s="0" t="s">
        <v>383</v>
      </c>
      <c r="E122" s="0" t="s">
        <v>40</v>
      </c>
      <c r="F122" s="0" t="s">
        <v>41</v>
      </c>
      <c r="G122" s="7" t="n">
        <f aca="false">C122/SUM($C$3:$C$239)</f>
        <v>0.000678909258606406</v>
      </c>
    </row>
    <row r="123" customFormat="false" ht="15" hidden="false" customHeight="false" outlineLevel="0" collapsed="false">
      <c r="A123" s="0" t="s">
        <v>384</v>
      </c>
      <c r="B123" s="0" t="s">
        <v>385</v>
      </c>
      <c r="C123" s="6" t="n">
        <v>5409202</v>
      </c>
      <c r="D123" s="0" t="s">
        <v>386</v>
      </c>
      <c r="E123" s="0" t="s">
        <v>19</v>
      </c>
      <c r="F123" s="0" t="s">
        <v>85</v>
      </c>
      <c r="G123" s="7" t="n">
        <f aca="false">C123/SUM($C$3:$C$239)</f>
        <v>0.00066854844246688</v>
      </c>
    </row>
    <row r="124" customFormat="false" ht="15" hidden="false" customHeight="false" outlineLevel="0" collapsed="false">
      <c r="A124" s="0" t="s">
        <v>387</v>
      </c>
      <c r="B124" s="0" t="s">
        <v>388</v>
      </c>
      <c r="C124" s="6" t="n">
        <v>5196630</v>
      </c>
      <c r="D124" s="0" t="s">
        <v>255</v>
      </c>
      <c r="E124" s="0" t="s">
        <v>52</v>
      </c>
      <c r="F124" s="0" t="s">
        <v>96</v>
      </c>
      <c r="G124" s="7" t="n">
        <f aca="false">C124/SUM($C$3:$C$239)</f>
        <v>0.000642275679957351</v>
      </c>
    </row>
    <row r="125" customFormat="false" ht="15" hidden="false" customHeight="false" outlineLevel="0" collapsed="false">
      <c r="A125" s="0" t="s">
        <v>389</v>
      </c>
      <c r="B125" s="0" t="s">
        <v>390</v>
      </c>
      <c r="C125" s="6" t="n">
        <v>5172836</v>
      </c>
      <c r="D125" s="0" t="s">
        <v>391</v>
      </c>
      <c r="E125" s="0" t="s">
        <v>196</v>
      </c>
      <c r="F125" s="0" t="s">
        <v>197</v>
      </c>
      <c r="G125" s="7" t="n">
        <f aca="false">C125/SUM($C$3:$C$239)</f>
        <v>0.000639334868791479</v>
      </c>
    </row>
    <row r="126" customFormat="false" ht="15" hidden="false" customHeight="false" outlineLevel="0" collapsed="false">
      <c r="A126" s="0" t="s">
        <v>392</v>
      </c>
      <c r="B126" s="0" t="s">
        <v>393</v>
      </c>
      <c r="C126" s="6" t="n">
        <v>5152421</v>
      </c>
      <c r="D126" s="0" t="s">
        <v>394</v>
      </c>
      <c r="E126" s="0" t="s">
        <v>40</v>
      </c>
      <c r="F126" s="0" t="s">
        <v>75</v>
      </c>
      <c r="G126" s="7" t="n">
        <f aca="false">C126/SUM($C$3:$C$239)</f>
        <v>0.000636811683957013</v>
      </c>
    </row>
    <row r="127" customFormat="false" ht="15" hidden="false" customHeight="false" outlineLevel="0" collapsed="false">
      <c r="A127" s="0" t="s">
        <v>395</v>
      </c>
      <c r="B127" s="0" t="s">
        <v>396</v>
      </c>
      <c r="C127" s="6" t="n">
        <v>5105525</v>
      </c>
      <c r="D127" s="0" t="s">
        <v>360</v>
      </c>
      <c r="E127" s="0" t="s">
        <v>28</v>
      </c>
      <c r="F127" s="0" t="s">
        <v>57</v>
      </c>
      <c r="G127" s="7" t="n">
        <f aca="false">C127/SUM($C$3:$C$239)</f>
        <v>0.000631015589124924</v>
      </c>
    </row>
    <row r="128" customFormat="false" ht="15" hidden="false" customHeight="false" outlineLevel="0" collapsed="false">
      <c r="A128" s="0" t="s">
        <v>397</v>
      </c>
      <c r="B128" s="0" t="s">
        <v>398</v>
      </c>
      <c r="C128" s="6" t="n">
        <v>5049269</v>
      </c>
      <c r="D128" s="0" t="s">
        <v>399</v>
      </c>
      <c r="E128" s="0" t="s">
        <v>19</v>
      </c>
      <c r="F128" s="0" t="s">
        <v>85</v>
      </c>
      <c r="G128" s="7" t="n">
        <f aca="false">C128/SUM($C$3:$C$239)</f>
        <v>0.000624062648343748</v>
      </c>
    </row>
    <row r="129" customFormat="false" ht="15" hidden="false" customHeight="false" outlineLevel="0" collapsed="false">
      <c r="A129" s="0" t="s">
        <v>400</v>
      </c>
      <c r="B129" s="0" t="s">
        <v>401</v>
      </c>
      <c r="C129" s="6" t="n">
        <v>5022441</v>
      </c>
      <c r="D129" s="0" t="s">
        <v>402</v>
      </c>
      <c r="E129" s="0" t="s">
        <v>40</v>
      </c>
      <c r="F129" s="0" t="s">
        <v>41</v>
      </c>
      <c r="G129" s="7" t="n">
        <f aca="false">C129/SUM($C$3:$C$239)</f>
        <v>0.000620746851001644</v>
      </c>
    </row>
    <row r="130" customFormat="false" ht="15" hidden="false" customHeight="false" outlineLevel="0" collapsed="false">
      <c r="A130" s="0" t="s">
        <v>403</v>
      </c>
      <c r="B130" s="0" t="s">
        <v>404</v>
      </c>
      <c r="C130" s="6" t="n">
        <v>4838782</v>
      </c>
      <c r="D130" s="0" t="s">
        <v>405</v>
      </c>
      <c r="E130" s="0" t="s">
        <v>19</v>
      </c>
      <c r="F130" s="0" t="s">
        <v>85</v>
      </c>
      <c r="G130" s="7" t="n">
        <f aca="false">C130/SUM($C$3:$C$239)</f>
        <v>0.000598047580685057</v>
      </c>
    </row>
    <row r="131" customFormat="false" ht="15" hidden="false" customHeight="false" outlineLevel="0" collapsed="false">
      <c r="A131" s="0" t="s">
        <v>406</v>
      </c>
      <c r="B131" s="0" t="s">
        <v>407</v>
      </c>
      <c r="C131" s="6" t="n">
        <v>4458759</v>
      </c>
      <c r="D131" s="0" t="s">
        <v>408</v>
      </c>
      <c r="E131" s="0" t="s">
        <v>28</v>
      </c>
      <c r="F131" s="0" t="s">
        <v>57</v>
      </c>
      <c r="G131" s="7" t="n">
        <f aca="false">C131/SUM($C$3:$C$239)</f>
        <v>0.000551078769989581</v>
      </c>
    </row>
    <row r="132" customFormat="false" ht="15" hidden="false" customHeight="false" outlineLevel="0" collapsed="false">
      <c r="A132" s="0" t="s">
        <v>409</v>
      </c>
      <c r="B132" s="0" t="s">
        <v>410</v>
      </c>
      <c r="C132" s="6" t="n">
        <v>3896023</v>
      </c>
      <c r="D132" s="0" t="s">
        <v>411</v>
      </c>
      <c r="E132" s="0" t="s">
        <v>52</v>
      </c>
      <c r="F132" s="0" t="s">
        <v>109</v>
      </c>
      <c r="G132" s="7" t="n">
        <f aca="false">C132/SUM($C$3:$C$239)</f>
        <v>0.000481527609518953</v>
      </c>
    </row>
    <row r="133" customFormat="false" ht="15" hidden="false" customHeight="false" outlineLevel="0" collapsed="false">
      <c r="A133" s="0" t="s">
        <v>412</v>
      </c>
      <c r="B133" s="0" t="s">
        <v>413</v>
      </c>
      <c r="C133" s="6" t="n">
        <v>3807492</v>
      </c>
      <c r="D133" s="0" t="s">
        <v>414</v>
      </c>
      <c r="E133" s="0" t="s">
        <v>19</v>
      </c>
      <c r="F133" s="0" t="s">
        <v>85</v>
      </c>
      <c r="G133" s="7" t="n">
        <f aca="false">C133/SUM($C$3:$C$239)</f>
        <v>0.000470585651322525</v>
      </c>
    </row>
    <row r="134" customFormat="false" ht="15" hidden="false" customHeight="false" outlineLevel="0" collapsed="false">
      <c r="A134" s="0" t="s">
        <v>415</v>
      </c>
      <c r="B134" s="0" t="s">
        <v>416</v>
      </c>
      <c r="C134" s="6" t="n">
        <v>3470390</v>
      </c>
      <c r="D134" s="0" t="s">
        <v>417</v>
      </c>
      <c r="E134" s="0" t="s">
        <v>40</v>
      </c>
      <c r="F134" s="0" t="s">
        <v>61</v>
      </c>
      <c r="G134" s="7" t="n">
        <f aca="false">C134/SUM($C$3:$C$239)</f>
        <v>0.000428921646714734</v>
      </c>
    </row>
    <row r="135" customFormat="false" ht="15" hidden="false" customHeight="false" outlineLevel="0" collapsed="false">
      <c r="A135" s="0" t="s">
        <v>418</v>
      </c>
      <c r="B135" s="0" t="s">
        <v>419</v>
      </c>
      <c r="C135" s="6" t="n">
        <v>3431932</v>
      </c>
      <c r="D135" s="0" t="s">
        <v>420</v>
      </c>
      <c r="E135" s="0" t="s">
        <v>19</v>
      </c>
      <c r="F135" s="0" t="s">
        <v>24</v>
      </c>
      <c r="G135" s="7" t="n">
        <f aca="false">C135/SUM($C$3:$C$239)</f>
        <v>0.00042416844356196</v>
      </c>
    </row>
    <row r="136" customFormat="false" ht="15" hidden="false" customHeight="false" outlineLevel="0" collapsed="false">
      <c r="A136" s="0" t="s">
        <v>421</v>
      </c>
      <c r="B136" s="0" t="s">
        <v>422</v>
      </c>
      <c r="C136" s="6" t="n">
        <v>3388081</v>
      </c>
      <c r="D136" s="0" t="s">
        <v>423</v>
      </c>
      <c r="E136" s="0" t="s">
        <v>28</v>
      </c>
      <c r="F136" s="0" t="s">
        <v>45</v>
      </c>
      <c r="G136" s="7" t="n">
        <f aca="false">C136/SUM($C$3:$C$239)</f>
        <v>0.000418748694447282</v>
      </c>
    </row>
    <row r="137" customFormat="false" ht="15" hidden="false" customHeight="false" outlineLevel="0" collapsed="false">
      <c r="A137" s="0" t="s">
        <v>424</v>
      </c>
      <c r="B137" s="0" t="s">
        <v>425</v>
      </c>
      <c r="C137" s="6" t="n">
        <v>3242023</v>
      </c>
      <c r="D137" s="0" t="s">
        <v>426</v>
      </c>
      <c r="E137" s="0" t="s">
        <v>28</v>
      </c>
      <c r="F137" s="0" t="s">
        <v>278</v>
      </c>
      <c r="G137" s="7" t="n">
        <f aca="false">C137/SUM($C$3:$C$239)</f>
        <v>0.000400696706666122</v>
      </c>
    </row>
    <row r="138" customFormat="false" ht="15" hidden="false" customHeight="false" outlineLevel="0" collapsed="false">
      <c r="A138" s="0" t="s">
        <v>427</v>
      </c>
      <c r="B138" s="0" t="s">
        <v>428</v>
      </c>
      <c r="C138" s="6" t="n">
        <v>3185073</v>
      </c>
      <c r="D138" s="0" t="s">
        <v>429</v>
      </c>
      <c r="E138" s="0" t="s">
        <v>52</v>
      </c>
      <c r="F138" s="0" t="s">
        <v>109</v>
      </c>
      <c r="G138" s="7" t="n">
        <f aca="false">C138/SUM($C$3:$C$239)</f>
        <v>0.000393657991195986</v>
      </c>
    </row>
    <row r="139" customFormat="false" ht="15" hidden="false" customHeight="false" outlineLevel="0" collapsed="false">
      <c r="A139" s="0" t="s">
        <v>430</v>
      </c>
      <c r="B139" s="0" t="s">
        <v>431</v>
      </c>
      <c r="C139" s="6" t="n">
        <v>3067070</v>
      </c>
      <c r="D139" s="0" t="s">
        <v>18</v>
      </c>
      <c r="E139" s="0" t="s">
        <v>52</v>
      </c>
      <c r="F139" s="0" t="s">
        <v>53</v>
      </c>
      <c r="G139" s="7" t="n">
        <f aca="false">C139/SUM($C$3:$C$239)</f>
        <v>0.000379073451395768</v>
      </c>
    </row>
    <row r="140" customFormat="false" ht="15" hidden="false" customHeight="false" outlineLevel="0" collapsed="false">
      <c r="A140" s="0" t="s">
        <v>432</v>
      </c>
      <c r="B140" s="0" t="s">
        <v>433</v>
      </c>
      <c r="C140" s="6" t="n">
        <v>2979082</v>
      </c>
      <c r="D140" s="0" t="s">
        <v>434</v>
      </c>
      <c r="E140" s="0" t="s">
        <v>19</v>
      </c>
      <c r="F140" s="0" t="s">
        <v>85</v>
      </c>
      <c r="G140" s="7" t="n">
        <f aca="false">C140/SUM($C$3:$C$239)</f>
        <v>0.000368198605095745</v>
      </c>
    </row>
    <row r="141" customFormat="false" ht="15" hidden="false" customHeight="false" outlineLevel="0" collapsed="false">
      <c r="A141" s="0" t="s">
        <v>435</v>
      </c>
      <c r="B141" s="0" t="s">
        <v>436</v>
      </c>
      <c r="C141" s="6" t="n">
        <v>2963095</v>
      </c>
      <c r="D141" s="0" t="s">
        <v>183</v>
      </c>
      <c r="E141" s="0" t="s">
        <v>40</v>
      </c>
      <c r="F141" s="0" t="s">
        <v>105</v>
      </c>
      <c r="G141" s="7" t="n">
        <f aca="false">C141/SUM($C$3:$C$239)</f>
        <v>0.000366222697383348</v>
      </c>
    </row>
    <row r="142" customFormat="false" ht="15" hidden="false" customHeight="false" outlineLevel="0" collapsed="false">
      <c r="A142" s="0" t="s">
        <v>437</v>
      </c>
      <c r="B142" s="0" t="s">
        <v>438</v>
      </c>
      <c r="C142" s="6" t="n">
        <v>2943393</v>
      </c>
      <c r="D142" s="0" t="s">
        <v>439</v>
      </c>
      <c r="E142" s="0" t="s">
        <v>19</v>
      </c>
      <c r="F142" s="0" t="s">
        <v>85</v>
      </c>
      <c r="G142" s="7" t="n">
        <f aca="false">C142/SUM($C$3:$C$239)</f>
        <v>0.000363787635536243</v>
      </c>
    </row>
    <row r="143" customFormat="false" ht="15" hidden="false" customHeight="false" outlineLevel="0" collapsed="false">
      <c r="A143" s="0" t="s">
        <v>440</v>
      </c>
      <c r="B143" s="0" t="s">
        <v>441</v>
      </c>
      <c r="C143" s="6" t="n">
        <v>2854099</v>
      </c>
      <c r="D143" s="0" t="s">
        <v>408</v>
      </c>
      <c r="E143" s="0" t="s">
        <v>52</v>
      </c>
      <c r="F143" s="0" t="s">
        <v>96</v>
      </c>
      <c r="G143" s="7" t="n">
        <f aca="false">C143/SUM($C$3:$C$239)</f>
        <v>0.00035275137461982</v>
      </c>
    </row>
    <row r="144" customFormat="false" ht="15" hidden="false" customHeight="false" outlineLevel="0" collapsed="false">
      <c r="A144" s="0" t="s">
        <v>442</v>
      </c>
      <c r="B144" s="0" t="s">
        <v>443</v>
      </c>
      <c r="C144" s="6" t="n">
        <v>2839786</v>
      </c>
      <c r="D144" s="0" t="s">
        <v>444</v>
      </c>
      <c r="E144" s="0" t="s">
        <v>28</v>
      </c>
      <c r="F144" s="0" t="s">
        <v>278</v>
      </c>
      <c r="G144" s="7" t="n">
        <f aca="false">C144/SUM($C$3:$C$239)</f>
        <v>0.000350982364356009</v>
      </c>
    </row>
    <row r="145" customFormat="false" ht="15" hidden="false" customHeight="false" outlineLevel="0" collapsed="false">
      <c r="A145" s="0" t="s">
        <v>445</v>
      </c>
      <c r="B145" s="0" t="s">
        <v>446</v>
      </c>
      <c r="C145" s="6" t="n">
        <v>2811655</v>
      </c>
      <c r="D145" s="0" t="s">
        <v>447</v>
      </c>
      <c r="E145" s="0" t="s">
        <v>52</v>
      </c>
      <c r="F145" s="0" t="s">
        <v>109</v>
      </c>
      <c r="G145" s="7" t="n">
        <f aca="false">C145/SUM($C$3:$C$239)</f>
        <v>0.000347505523181463</v>
      </c>
    </row>
    <row r="146" customFormat="false" ht="15" hidden="false" customHeight="false" outlineLevel="0" collapsed="false">
      <c r="A146" s="0" t="s">
        <v>448</v>
      </c>
      <c r="B146" s="0" t="s">
        <v>449</v>
      </c>
      <c r="C146" s="6" t="n">
        <v>2697845</v>
      </c>
      <c r="D146" s="0" t="s">
        <v>450</v>
      </c>
      <c r="E146" s="0" t="s">
        <v>40</v>
      </c>
      <c r="F146" s="0" t="s">
        <v>41</v>
      </c>
      <c r="G146" s="7" t="n">
        <f aca="false">C146/SUM($C$3:$C$239)</f>
        <v>0.000333439215759933</v>
      </c>
    </row>
    <row r="147" customFormat="false" ht="15" hidden="false" customHeight="false" outlineLevel="0" collapsed="false">
      <c r="A147" s="0" t="s">
        <v>451</v>
      </c>
      <c r="B147" s="0" t="s">
        <v>452</v>
      </c>
      <c r="C147" s="6" t="n">
        <v>2484789</v>
      </c>
      <c r="D147" s="0" t="s">
        <v>263</v>
      </c>
      <c r="E147" s="0" t="s">
        <v>40</v>
      </c>
      <c r="F147" s="0" t="s">
        <v>75</v>
      </c>
      <c r="G147" s="7" t="n">
        <f aca="false">C147/SUM($C$3:$C$239)</f>
        <v>0.000307106633438506</v>
      </c>
    </row>
    <row r="148" customFormat="false" ht="15" hidden="false" customHeight="false" outlineLevel="0" collapsed="false">
      <c r="A148" s="0" t="s">
        <v>453</v>
      </c>
      <c r="B148" s="0" t="s">
        <v>454</v>
      </c>
      <c r="C148" s="6" t="n">
        <v>2480244</v>
      </c>
      <c r="D148" s="0" t="s">
        <v>455</v>
      </c>
      <c r="E148" s="0" t="s">
        <v>40</v>
      </c>
      <c r="F148" s="0" t="s">
        <v>105</v>
      </c>
      <c r="G148" s="7" t="n">
        <f aca="false">C148/SUM($C$3:$C$239)</f>
        <v>0.000306544895742075</v>
      </c>
    </row>
    <row r="149" customFormat="false" ht="15" hidden="false" customHeight="false" outlineLevel="0" collapsed="false">
      <c r="A149" s="0" t="s">
        <v>456</v>
      </c>
      <c r="B149" s="0" t="s">
        <v>457</v>
      </c>
      <c r="C149" s="6" t="n">
        <v>2311472</v>
      </c>
      <c r="D149" s="0" t="s">
        <v>168</v>
      </c>
      <c r="E149" s="0" t="s">
        <v>40</v>
      </c>
      <c r="F149" s="0" t="s">
        <v>105</v>
      </c>
      <c r="G149" s="7" t="n">
        <f aca="false">C149/SUM($C$3:$C$239)</f>
        <v>0.000285685579019937</v>
      </c>
    </row>
    <row r="150" customFormat="false" ht="15" hidden="false" customHeight="false" outlineLevel="0" collapsed="false">
      <c r="A150" s="0" t="s">
        <v>458</v>
      </c>
      <c r="B150" s="0" t="s">
        <v>459</v>
      </c>
      <c r="C150" s="6" t="n">
        <v>2153339</v>
      </c>
      <c r="D150" s="0" t="s">
        <v>460</v>
      </c>
      <c r="E150" s="0" t="s">
        <v>40</v>
      </c>
      <c r="F150" s="0" t="s">
        <v>41</v>
      </c>
      <c r="G150" s="7" t="n">
        <f aca="false">C150/SUM($C$3:$C$239)</f>
        <v>0.000266141185807664</v>
      </c>
    </row>
    <row r="151" customFormat="false" ht="15" hidden="false" customHeight="false" outlineLevel="0" collapsed="false">
      <c r="A151" s="0" t="s">
        <v>461</v>
      </c>
      <c r="B151" s="0" t="s">
        <v>462</v>
      </c>
      <c r="C151" s="6" t="n">
        <v>2118396</v>
      </c>
      <c r="D151" s="0" t="s">
        <v>463</v>
      </c>
      <c r="E151" s="0" t="s">
        <v>52</v>
      </c>
      <c r="F151" s="0" t="s">
        <v>109</v>
      </c>
      <c r="G151" s="7" t="n">
        <f aca="false">C151/SUM($C$3:$C$239)</f>
        <v>0.000261822417859061</v>
      </c>
    </row>
    <row r="152" customFormat="false" ht="15" hidden="false" customHeight="false" outlineLevel="0" collapsed="false">
      <c r="A152" s="0" t="s">
        <v>464</v>
      </c>
      <c r="B152" s="0" t="s">
        <v>465</v>
      </c>
      <c r="C152" s="6" t="n">
        <v>1882396</v>
      </c>
      <c r="D152" s="0" t="s">
        <v>466</v>
      </c>
      <c r="E152" s="0" t="s">
        <v>52</v>
      </c>
      <c r="F152" s="0" t="s">
        <v>96</v>
      </c>
      <c r="G152" s="7" t="n">
        <f aca="false">C152/SUM($C$3:$C$239)</f>
        <v>0.000232654079826541</v>
      </c>
    </row>
    <row r="153" customFormat="false" ht="15" hidden="false" customHeight="false" outlineLevel="0" collapsed="false">
      <c r="A153" s="0" t="s">
        <v>467</v>
      </c>
      <c r="B153" s="0" t="s">
        <v>468</v>
      </c>
      <c r="C153" s="6" t="n">
        <v>1847549</v>
      </c>
      <c r="D153" s="0" t="s">
        <v>469</v>
      </c>
      <c r="E153" s="0" t="s">
        <v>40</v>
      </c>
      <c r="F153" s="0" t="s">
        <v>75</v>
      </c>
      <c r="G153" s="7" t="n">
        <f aca="false">C153/SUM($C$3:$C$239)</f>
        <v>0.000228347176964595</v>
      </c>
    </row>
    <row r="154" customFormat="false" ht="15" hidden="false" customHeight="false" outlineLevel="0" collapsed="false">
      <c r="A154" s="0" t="s">
        <v>470</v>
      </c>
      <c r="B154" s="0" t="s">
        <v>471</v>
      </c>
      <c r="C154" s="6" t="n">
        <v>1831802</v>
      </c>
      <c r="D154" s="0" t="s">
        <v>472</v>
      </c>
      <c r="E154" s="0" t="s">
        <v>52</v>
      </c>
      <c r="F154" s="0" t="s">
        <v>109</v>
      </c>
      <c r="G154" s="7" t="n">
        <f aca="false">C154/SUM($C$3:$C$239)</f>
        <v>0.00022640093196884</v>
      </c>
    </row>
    <row r="155" customFormat="false" ht="15" hidden="false" customHeight="false" outlineLevel="0" collapsed="false">
      <c r="A155" s="0" t="s">
        <v>473</v>
      </c>
      <c r="B155" s="0" t="s">
        <v>474</v>
      </c>
      <c r="C155" s="6" t="n">
        <v>1700031</v>
      </c>
      <c r="D155" s="0" t="s">
        <v>475</v>
      </c>
      <c r="E155" s="0" t="s">
        <v>52</v>
      </c>
      <c r="F155" s="0" t="s">
        <v>109</v>
      </c>
      <c r="G155" s="7" t="n">
        <f aca="false">C155/SUM($C$3:$C$239)</f>
        <v>0.000210114740990522</v>
      </c>
    </row>
    <row r="156" customFormat="false" ht="15" hidden="false" customHeight="false" outlineLevel="0" collapsed="false">
      <c r="A156" s="0" t="s">
        <v>476</v>
      </c>
      <c r="B156" s="0" t="s">
        <v>477</v>
      </c>
      <c r="C156" s="6" t="n">
        <v>1569666</v>
      </c>
      <c r="D156" s="0" t="s">
        <v>322</v>
      </c>
      <c r="E156" s="0" t="s">
        <v>19</v>
      </c>
      <c r="F156" s="0" t="s">
        <v>85</v>
      </c>
      <c r="G156" s="7" t="n">
        <f aca="false">C156/SUM($C$3:$C$239)</f>
        <v>0.000194002324093871</v>
      </c>
    </row>
    <row r="157" customFormat="false" ht="15" hidden="false" customHeight="false" outlineLevel="0" collapsed="false">
      <c r="A157" s="0" t="s">
        <v>478</v>
      </c>
      <c r="B157" s="0" t="s">
        <v>479</v>
      </c>
      <c r="C157" s="6" t="n">
        <v>1502932</v>
      </c>
      <c r="D157" s="0" t="s">
        <v>360</v>
      </c>
      <c r="E157" s="0" t="s">
        <v>28</v>
      </c>
      <c r="F157" s="0" t="s">
        <v>278</v>
      </c>
      <c r="G157" s="7" t="n">
        <f aca="false">C157/SUM($C$3:$C$239)</f>
        <v>0.000185754358541913</v>
      </c>
    </row>
    <row r="158" customFormat="false" ht="15" hidden="false" customHeight="false" outlineLevel="0" collapsed="false">
      <c r="A158" s="0" t="s">
        <v>480</v>
      </c>
      <c r="B158" s="0" t="s">
        <v>481</v>
      </c>
      <c r="C158" s="6" t="n">
        <v>1384286</v>
      </c>
      <c r="D158" s="0" t="s">
        <v>482</v>
      </c>
      <c r="E158" s="0" t="s">
        <v>19</v>
      </c>
      <c r="F158" s="0" t="s">
        <v>33</v>
      </c>
      <c r="G158" s="7" t="n">
        <f aca="false">C158/SUM($C$3:$C$239)</f>
        <v>0.000171090347380021</v>
      </c>
    </row>
    <row r="159" customFormat="false" ht="15" hidden="false" customHeight="false" outlineLevel="0" collapsed="false">
      <c r="A159" s="0" t="s">
        <v>483</v>
      </c>
      <c r="B159" s="0" t="s">
        <v>484</v>
      </c>
      <c r="C159" s="6" t="n">
        <v>1367196</v>
      </c>
      <c r="D159" s="0" t="s">
        <v>485</v>
      </c>
      <c r="E159" s="0" t="s">
        <v>52</v>
      </c>
      <c r="F159" s="0" t="s">
        <v>96</v>
      </c>
      <c r="G159" s="7" t="n">
        <f aca="false">C159/SUM($C$3:$C$239)</f>
        <v>0.000168978114765717</v>
      </c>
    </row>
    <row r="160" customFormat="false" ht="15" hidden="false" customHeight="false" outlineLevel="0" collapsed="false">
      <c r="A160" s="0" t="s">
        <v>486</v>
      </c>
      <c r="B160" s="0" t="s">
        <v>487</v>
      </c>
      <c r="C160" s="6" t="n">
        <v>1344976</v>
      </c>
      <c r="D160" s="0" t="s">
        <v>488</v>
      </c>
      <c r="E160" s="0" t="s">
        <v>19</v>
      </c>
      <c r="F160" s="0" t="s">
        <v>85</v>
      </c>
      <c r="G160" s="7" t="n">
        <f aca="false">C160/SUM($C$3:$C$239)</f>
        <v>0.000166231841583164</v>
      </c>
    </row>
    <row r="161" customFormat="false" ht="15" hidden="false" customHeight="false" outlineLevel="0" collapsed="false">
      <c r="A161" s="0" t="s">
        <v>489</v>
      </c>
      <c r="B161" s="0" t="s">
        <v>490</v>
      </c>
      <c r="C161" s="6" t="n">
        <v>1273588</v>
      </c>
      <c r="D161" s="0" t="s">
        <v>108</v>
      </c>
      <c r="E161" s="0" t="s">
        <v>40</v>
      </c>
      <c r="F161" s="0" t="s">
        <v>61</v>
      </c>
      <c r="G161" s="7" t="n">
        <f aca="false">C161/SUM($C$3:$C$239)</f>
        <v>0.000157408666517632</v>
      </c>
    </row>
    <row r="162" customFormat="false" ht="15" hidden="false" customHeight="false" outlineLevel="0" collapsed="false">
      <c r="A162" s="0" t="s">
        <v>491</v>
      </c>
      <c r="B162" s="0" t="s">
        <v>492</v>
      </c>
      <c r="C162" s="6" t="n">
        <v>1230506</v>
      </c>
      <c r="D162" s="0" t="s">
        <v>195</v>
      </c>
      <c r="E162" s="0" t="s">
        <v>40</v>
      </c>
      <c r="F162" s="0" t="s">
        <v>105</v>
      </c>
      <c r="G162" s="7" t="n">
        <f aca="false">C162/SUM($C$3:$C$239)</f>
        <v>0.000152083961690865</v>
      </c>
    </row>
    <row r="163" customFormat="false" ht="15" hidden="false" customHeight="false" outlineLevel="0" collapsed="false">
      <c r="A163" s="0" t="s">
        <v>493</v>
      </c>
      <c r="B163" s="0" t="s">
        <v>494</v>
      </c>
      <c r="C163" s="6" t="n">
        <v>1152944</v>
      </c>
      <c r="D163" s="0" t="s">
        <v>495</v>
      </c>
      <c r="E163" s="0" t="s">
        <v>40</v>
      </c>
      <c r="F163" s="0" t="s">
        <v>61</v>
      </c>
      <c r="G163" s="7" t="n">
        <f aca="false">C163/SUM($C$3:$C$239)</f>
        <v>0.000142497713239686</v>
      </c>
    </row>
    <row r="164" customFormat="false" ht="15" hidden="false" customHeight="false" outlineLevel="0" collapsed="false">
      <c r="A164" s="0" t="s">
        <v>496</v>
      </c>
      <c r="B164" s="0" t="s">
        <v>497</v>
      </c>
      <c r="C164" s="6" t="n">
        <v>924145</v>
      </c>
      <c r="D164" s="0" t="s">
        <v>498</v>
      </c>
      <c r="E164" s="0" t="s">
        <v>196</v>
      </c>
      <c r="F164" s="0" t="s">
        <v>310</v>
      </c>
      <c r="G164" s="7" t="n">
        <f aca="false">C164/SUM($C$3:$C$239)</f>
        <v>0.000114219380301115</v>
      </c>
    </row>
    <row r="165" customFormat="false" ht="15" hidden="false" customHeight="false" outlineLevel="0" collapsed="false">
      <c r="A165" s="0" t="s">
        <v>499</v>
      </c>
      <c r="B165" s="0" t="s">
        <v>500</v>
      </c>
      <c r="C165" s="6" t="n">
        <v>874883</v>
      </c>
      <c r="D165" s="0" t="s">
        <v>501</v>
      </c>
      <c r="E165" s="0" t="s">
        <v>40</v>
      </c>
      <c r="F165" s="0" t="s">
        <v>61</v>
      </c>
      <c r="G165" s="7" t="n">
        <f aca="false">C165/SUM($C$3:$C$239)</f>
        <v>0.000108130860520785</v>
      </c>
    </row>
    <row r="166" customFormat="false" ht="15" hidden="false" customHeight="false" outlineLevel="0" collapsed="false">
      <c r="A166" s="0" t="s">
        <v>502</v>
      </c>
      <c r="B166" s="0" t="s">
        <v>503</v>
      </c>
      <c r="C166" s="6" t="n">
        <v>850387</v>
      </c>
      <c r="D166" s="0" t="s">
        <v>504</v>
      </c>
      <c r="E166" s="0" t="s">
        <v>40</v>
      </c>
      <c r="F166" s="0" t="s">
        <v>61</v>
      </c>
      <c r="G166" s="7" t="n">
        <f aca="false">C166/SUM($C$3:$C$239)</f>
        <v>0.000105103285908732</v>
      </c>
    </row>
    <row r="167" customFormat="false" ht="15" hidden="false" customHeight="false" outlineLevel="0" collapsed="false">
      <c r="A167" s="0" t="s">
        <v>505</v>
      </c>
      <c r="B167" s="0" t="s">
        <v>506</v>
      </c>
      <c r="C167" s="6" t="n">
        <v>826353</v>
      </c>
      <c r="D167" s="0" t="s">
        <v>27</v>
      </c>
      <c r="E167" s="0" t="s">
        <v>28</v>
      </c>
      <c r="F167" s="0" t="s">
        <v>45</v>
      </c>
      <c r="G167" s="7" t="n">
        <f aca="false">C167/SUM($C$3:$C$239)</f>
        <v>0.000102132812026216</v>
      </c>
    </row>
    <row r="168" customFormat="false" ht="15" hidden="false" customHeight="false" outlineLevel="0" collapsed="false">
      <c r="A168" s="0" t="s">
        <v>507</v>
      </c>
      <c r="B168" s="0" t="s">
        <v>508</v>
      </c>
      <c r="C168" s="6" t="n">
        <v>800005</v>
      </c>
      <c r="D168" s="0" t="s">
        <v>247</v>
      </c>
      <c r="E168" s="0" t="s">
        <v>196</v>
      </c>
      <c r="F168" s="0" t="s">
        <v>310</v>
      </c>
      <c r="G168" s="7" t="n">
        <f aca="false">C168/SUM($C$3:$C$239)</f>
        <v>9.88763401173992E-005</v>
      </c>
    </row>
    <row r="169" customFormat="false" ht="15" hidden="false" customHeight="false" outlineLevel="0" collapsed="false">
      <c r="A169" s="0" t="s">
        <v>509</v>
      </c>
      <c r="B169" s="0" t="s">
        <v>510</v>
      </c>
      <c r="C169" s="6" t="n">
        <v>786385</v>
      </c>
      <c r="D169" s="0" t="s">
        <v>115</v>
      </c>
      <c r="E169" s="0" t="s">
        <v>19</v>
      </c>
      <c r="F169" s="0" t="s">
        <v>20</v>
      </c>
      <c r="G169" s="7" t="n">
        <f aca="false">C169/SUM($C$3:$C$239)</f>
        <v>9.71929809478953E-005</v>
      </c>
    </row>
    <row r="170" customFormat="false" ht="15" hidden="false" customHeight="false" outlineLevel="0" collapsed="false">
      <c r="A170" s="0" t="s">
        <v>511</v>
      </c>
      <c r="B170" s="0" t="s">
        <v>512</v>
      </c>
      <c r="C170" s="6" t="n">
        <v>713912</v>
      </c>
      <c r="D170" s="0" t="s">
        <v>420</v>
      </c>
      <c r="E170" s="0" t="s">
        <v>19</v>
      </c>
      <c r="F170" s="0" t="s">
        <v>24</v>
      </c>
      <c r="G170" s="7" t="n">
        <f aca="false">C170/SUM($C$3:$C$239)</f>
        <v>8.82357056842054E-005</v>
      </c>
    </row>
    <row r="171" customFormat="false" ht="15" hidden="false" customHeight="false" outlineLevel="0" collapsed="false">
      <c r="A171" s="0" t="s">
        <v>513</v>
      </c>
      <c r="B171" s="0" t="s">
        <v>514</v>
      </c>
      <c r="C171" s="6" t="n">
        <v>665098</v>
      </c>
      <c r="D171" s="0" t="s">
        <v>515</v>
      </c>
      <c r="E171" s="0" t="s">
        <v>52</v>
      </c>
      <c r="F171" s="0" t="s">
        <v>89</v>
      </c>
      <c r="G171" s="7" t="n">
        <f aca="false">C171/SUM($C$3:$C$239)</f>
        <v>8.22025563082755E-005</v>
      </c>
    </row>
    <row r="172" customFormat="false" ht="15" hidden="false" customHeight="false" outlineLevel="0" collapsed="false">
      <c r="A172" s="0" t="s">
        <v>516</v>
      </c>
      <c r="B172" s="0" t="s">
        <v>517</v>
      </c>
      <c r="C172" s="6" t="n">
        <v>633552</v>
      </c>
      <c r="D172" s="0" t="s">
        <v>518</v>
      </c>
      <c r="E172" s="0" t="s">
        <v>52</v>
      </c>
      <c r="F172" s="0" t="s">
        <v>109</v>
      </c>
      <c r="G172" s="7" t="n">
        <f aca="false">C172/SUM($C$3:$C$239)</f>
        <v>7.83036393948269E-005</v>
      </c>
    </row>
    <row r="173" customFormat="false" ht="15" hidden="false" customHeight="false" outlineLevel="0" collapsed="false">
      <c r="A173" s="0" t="s">
        <v>519</v>
      </c>
      <c r="B173" s="0" t="s">
        <v>520</v>
      </c>
      <c r="C173" s="6" t="n">
        <v>628886</v>
      </c>
      <c r="D173" s="0" t="s">
        <v>521</v>
      </c>
      <c r="E173" s="0" t="s">
        <v>28</v>
      </c>
      <c r="F173" s="0" t="s">
        <v>45</v>
      </c>
      <c r="G173" s="7" t="n">
        <f aca="false">C173/SUM($C$3:$C$239)</f>
        <v>7.77269467454212E-005</v>
      </c>
    </row>
    <row r="174" customFormat="false" ht="15" hidden="false" customHeight="false" outlineLevel="0" collapsed="false">
      <c r="A174" s="0" t="s">
        <v>522</v>
      </c>
      <c r="B174" s="0" t="s">
        <v>523</v>
      </c>
      <c r="C174" s="6" t="n">
        <v>579729</v>
      </c>
      <c r="D174" s="0" t="s">
        <v>171</v>
      </c>
      <c r="E174" s="0" t="s">
        <v>40</v>
      </c>
      <c r="F174" s="0" t="s">
        <v>71</v>
      </c>
      <c r="G174" s="7" t="n">
        <f aca="false">C174/SUM($C$3:$C$239)</f>
        <v>7.16514044036221E-005</v>
      </c>
    </row>
    <row r="175" customFormat="false" ht="15" hidden="false" customHeight="false" outlineLevel="0" collapsed="false">
      <c r="A175" s="0" t="s">
        <v>524</v>
      </c>
      <c r="B175" s="0" t="s">
        <v>525</v>
      </c>
      <c r="C175" s="6" t="n">
        <v>532956</v>
      </c>
      <c r="D175" s="0" t="s">
        <v>287</v>
      </c>
      <c r="E175" s="0" t="s">
        <v>52</v>
      </c>
      <c r="F175" s="0" t="s">
        <v>109</v>
      </c>
      <c r="G175" s="7" t="n">
        <f aca="false">C175/SUM($C$3:$C$239)</f>
        <v>6.58705117138126E-005</v>
      </c>
    </row>
    <row r="176" customFormat="false" ht="15" hidden="false" customHeight="false" outlineLevel="0" collapsed="false">
      <c r="A176" s="0" t="s">
        <v>526</v>
      </c>
      <c r="B176" s="0" t="s">
        <v>527</v>
      </c>
      <c r="C176" s="6" t="n">
        <v>525994</v>
      </c>
      <c r="D176" s="0" t="s">
        <v>528</v>
      </c>
      <c r="E176" s="0" t="s">
        <v>19</v>
      </c>
      <c r="F176" s="0" t="s">
        <v>20</v>
      </c>
      <c r="G176" s="7" t="n">
        <f aca="false">C176/SUM($C$3:$C$239)</f>
        <v>6.50100457418532E-005</v>
      </c>
    </row>
    <row r="177" customFormat="false" ht="15" hidden="false" customHeight="false" outlineLevel="0" collapsed="false">
      <c r="A177" s="0" t="s">
        <v>529</v>
      </c>
      <c r="B177" s="0" t="s">
        <v>530</v>
      </c>
      <c r="C177" s="6" t="n">
        <v>522331</v>
      </c>
      <c r="D177" s="0" t="s">
        <v>531</v>
      </c>
      <c r="E177" s="0" t="s">
        <v>40</v>
      </c>
      <c r="F177" s="0" t="s">
        <v>41</v>
      </c>
      <c r="G177" s="7" t="n">
        <f aca="false">C177/SUM($C$3:$C$239)</f>
        <v>6.45573185290857E-005</v>
      </c>
    </row>
    <row r="178" customFormat="false" ht="15" hidden="false" customHeight="false" outlineLevel="0" collapsed="false">
      <c r="A178" s="0" t="s">
        <v>532</v>
      </c>
      <c r="B178" s="0" t="s">
        <v>533</v>
      </c>
      <c r="C178" s="6" t="n">
        <v>458949</v>
      </c>
      <c r="D178" s="0" t="s">
        <v>534</v>
      </c>
      <c r="E178" s="0" t="s">
        <v>19</v>
      </c>
      <c r="F178" s="0" t="s">
        <v>33</v>
      </c>
      <c r="G178" s="7" t="n">
        <f aca="false">C178/SUM($C$3:$C$239)</f>
        <v>5.67236422529112E-005</v>
      </c>
    </row>
    <row r="179" customFormat="false" ht="15" hidden="false" customHeight="false" outlineLevel="0" collapsed="false">
      <c r="A179" s="0" t="s">
        <v>535</v>
      </c>
      <c r="B179" s="0" t="s">
        <v>536</v>
      </c>
      <c r="C179" s="6" t="n">
        <v>411106</v>
      </c>
      <c r="D179" s="0" t="s">
        <v>537</v>
      </c>
      <c r="E179" s="0" t="s">
        <v>28</v>
      </c>
      <c r="F179" s="0" t="s">
        <v>57</v>
      </c>
      <c r="G179" s="7" t="n">
        <f aca="false">C179/SUM($C$3:$C$239)</f>
        <v>5.08105032847339E-005</v>
      </c>
    </row>
    <row r="180" customFormat="false" ht="15" hidden="false" customHeight="false" outlineLevel="0" collapsed="false">
      <c r="A180" s="0" t="s">
        <v>538</v>
      </c>
      <c r="B180" s="0" t="s">
        <v>539</v>
      </c>
      <c r="C180" s="6" t="n">
        <v>399440</v>
      </c>
      <c r="D180" s="0" t="s">
        <v>540</v>
      </c>
      <c r="E180" s="0" t="s">
        <v>28</v>
      </c>
      <c r="F180" s="0" t="s">
        <v>278</v>
      </c>
      <c r="G180" s="7" t="n">
        <f aca="false">C180/SUM($C$3:$C$239)</f>
        <v>4.9368648066567E-005</v>
      </c>
    </row>
    <row r="181" customFormat="false" ht="15" hidden="false" customHeight="false" outlineLevel="0" collapsed="false">
      <c r="A181" s="0" t="s">
        <v>541</v>
      </c>
      <c r="B181" s="0" t="s">
        <v>542</v>
      </c>
      <c r="C181" s="6" t="n">
        <v>387558</v>
      </c>
      <c r="D181" s="0" t="s">
        <v>543</v>
      </c>
      <c r="E181" s="0" t="s">
        <v>52</v>
      </c>
      <c r="F181" s="0" t="s">
        <v>96</v>
      </c>
      <c r="G181" s="7" t="n">
        <f aca="false">C181/SUM($C$3:$C$239)</f>
        <v>4.79000964034212E-005</v>
      </c>
    </row>
    <row r="182" customFormat="false" ht="15" hidden="false" customHeight="false" outlineLevel="0" collapsed="false">
      <c r="A182" s="0" t="s">
        <v>544</v>
      </c>
      <c r="B182" s="0" t="s">
        <v>545</v>
      </c>
      <c r="C182" s="6" t="n">
        <v>376517</v>
      </c>
      <c r="D182" s="0" t="s">
        <v>546</v>
      </c>
      <c r="E182" s="0" t="s">
        <v>28</v>
      </c>
      <c r="F182" s="0" t="s">
        <v>278</v>
      </c>
      <c r="G182" s="7" t="n">
        <f aca="false">C182/SUM($C$3:$C$239)</f>
        <v>4.65354878431795E-005</v>
      </c>
    </row>
    <row r="183" customFormat="false" ht="15" hidden="false" customHeight="false" outlineLevel="0" collapsed="false">
      <c r="A183" s="0" t="s">
        <v>547</v>
      </c>
      <c r="B183" s="0" t="s">
        <v>548</v>
      </c>
      <c r="C183" s="6" t="n">
        <v>346002</v>
      </c>
      <c r="D183" s="0" t="s">
        <v>549</v>
      </c>
      <c r="E183" s="0" t="s">
        <v>28</v>
      </c>
      <c r="F183" s="0" t="s">
        <v>278</v>
      </c>
      <c r="G183" s="7" t="n">
        <f aca="false">C183/SUM($C$3:$C$239)</f>
        <v>4.27639970166441E-005</v>
      </c>
    </row>
    <row r="184" customFormat="false" ht="15" hidden="false" customHeight="false" outlineLevel="0" collapsed="false">
      <c r="A184" s="0" t="s">
        <v>550</v>
      </c>
      <c r="B184" s="0" t="s">
        <v>551</v>
      </c>
      <c r="C184" s="6" t="n">
        <v>320409</v>
      </c>
      <c r="D184" s="0" t="s">
        <v>552</v>
      </c>
      <c r="E184" s="0" t="s">
        <v>196</v>
      </c>
      <c r="F184" s="0" t="s">
        <v>310</v>
      </c>
      <c r="G184" s="7" t="n">
        <f aca="false">C184/SUM($C$3:$C$239)</f>
        <v>3.96008390706005E-005</v>
      </c>
    </row>
    <row r="185" customFormat="false" ht="15" hidden="false" customHeight="false" outlineLevel="0" collapsed="false">
      <c r="A185" s="0" t="s">
        <v>553</v>
      </c>
      <c r="B185" s="0" t="s">
        <v>554</v>
      </c>
      <c r="C185" s="6" t="n">
        <v>316015</v>
      </c>
      <c r="D185" s="0" t="s">
        <v>555</v>
      </c>
      <c r="E185" s="0" t="s">
        <v>40</v>
      </c>
      <c r="F185" s="0" t="s">
        <v>61</v>
      </c>
      <c r="G185" s="7" t="n">
        <f aca="false">C185/SUM($C$3:$C$239)</f>
        <v>3.90577641667238E-005</v>
      </c>
    </row>
    <row r="186" customFormat="false" ht="15" hidden="false" customHeight="false" outlineLevel="0" collapsed="false">
      <c r="A186" s="0" t="s">
        <v>556</v>
      </c>
      <c r="B186" s="0" t="s">
        <v>557</v>
      </c>
      <c r="C186" s="6" t="n">
        <v>303402</v>
      </c>
      <c r="D186" s="0" t="s">
        <v>558</v>
      </c>
      <c r="E186" s="0" t="s">
        <v>28</v>
      </c>
      <c r="F186" s="0" t="s">
        <v>45</v>
      </c>
      <c r="G186" s="7" t="n">
        <f aca="false">C186/SUM($C$3:$C$239)</f>
        <v>3.74988648124689E-005</v>
      </c>
    </row>
    <row r="187" customFormat="false" ht="15" hidden="false" customHeight="false" outlineLevel="0" collapsed="false">
      <c r="A187" s="0" t="s">
        <v>559</v>
      </c>
      <c r="B187" s="0" t="s">
        <v>560</v>
      </c>
      <c r="C187" s="6" t="n">
        <v>289870</v>
      </c>
      <c r="D187" s="0" t="s">
        <v>561</v>
      </c>
      <c r="E187" s="0" t="s">
        <v>196</v>
      </c>
      <c r="F187" s="0" t="s">
        <v>310</v>
      </c>
      <c r="G187" s="7" t="n">
        <f aca="false">C187/SUM($C$3:$C$239)</f>
        <v>3.58263819724008E-005</v>
      </c>
    </row>
    <row r="188" customFormat="false" ht="15" hidden="false" customHeight="false" outlineLevel="0" collapsed="false">
      <c r="A188" s="0" t="s">
        <v>562</v>
      </c>
      <c r="B188" s="0" t="s">
        <v>563</v>
      </c>
      <c r="C188" s="6" t="n">
        <v>282336</v>
      </c>
      <c r="D188" s="0" t="s">
        <v>564</v>
      </c>
      <c r="E188" s="0" t="s">
        <v>28</v>
      </c>
      <c r="F188" s="0" t="s">
        <v>278</v>
      </c>
      <c r="G188" s="7" t="n">
        <f aca="false">C188/SUM($C$3:$C$239)</f>
        <v>3.48952198591084E-005</v>
      </c>
    </row>
    <row r="189" customFormat="false" ht="15" hidden="false" customHeight="false" outlineLevel="0" collapsed="false">
      <c r="A189" s="0" t="s">
        <v>565</v>
      </c>
      <c r="B189" s="0" t="s">
        <v>566</v>
      </c>
      <c r="C189" s="6" t="n">
        <v>281118</v>
      </c>
      <c r="D189" s="0" t="s">
        <v>567</v>
      </c>
      <c r="E189" s="0" t="s">
        <v>196</v>
      </c>
      <c r="F189" s="0" t="s">
        <v>568</v>
      </c>
      <c r="G189" s="7" t="n">
        <f aca="false">C189/SUM($C$3:$C$239)</f>
        <v>3.4744681572144E-005</v>
      </c>
    </row>
    <row r="190" customFormat="false" ht="15" hidden="false" customHeight="false" outlineLevel="0" collapsed="false">
      <c r="A190" s="0" t="s">
        <v>569</v>
      </c>
      <c r="B190" s="0" t="s">
        <v>570</v>
      </c>
      <c r="C190" s="6" t="n">
        <v>230871</v>
      </c>
      <c r="D190" s="0" t="s">
        <v>571</v>
      </c>
      <c r="E190" s="0" t="s">
        <v>40</v>
      </c>
      <c r="F190" s="0" t="s">
        <v>75</v>
      </c>
      <c r="G190" s="7" t="n">
        <f aca="false">C190/SUM($C$3:$C$239)</f>
        <v>2.85344210589235E-005</v>
      </c>
    </row>
    <row r="191" customFormat="false" ht="15" hidden="false" customHeight="false" outlineLevel="0" collapsed="false">
      <c r="A191" s="0" t="s">
        <v>572</v>
      </c>
      <c r="B191" s="0" t="s">
        <v>573</v>
      </c>
      <c r="C191" s="6" t="n">
        <v>216663</v>
      </c>
      <c r="D191" s="0" t="s">
        <v>574</v>
      </c>
      <c r="E191" s="0" t="s">
        <v>196</v>
      </c>
      <c r="F191" s="0" t="s">
        <v>568</v>
      </c>
      <c r="G191" s="7" t="n">
        <f aca="false">C191/SUM($C$3:$C$239)</f>
        <v>2.67783882336436E-005</v>
      </c>
    </row>
    <row r="192" customFormat="false" ht="15" hidden="false" customHeight="false" outlineLevel="0" collapsed="false">
      <c r="A192" s="0" t="s">
        <v>575</v>
      </c>
      <c r="B192" s="0" t="s">
        <v>576</v>
      </c>
      <c r="C192" s="6" t="n">
        <v>185427</v>
      </c>
      <c r="D192" s="0" t="s">
        <v>577</v>
      </c>
      <c r="E192" s="0" t="s">
        <v>28</v>
      </c>
      <c r="F192" s="0" t="s">
        <v>278</v>
      </c>
      <c r="G192" s="7" t="n">
        <f aca="false">C192/SUM($C$3:$C$239)</f>
        <v>2.29177856625258E-005</v>
      </c>
    </row>
    <row r="193" customFormat="false" ht="15" hidden="false" customHeight="false" outlineLevel="0" collapsed="false">
      <c r="A193" s="0" t="s">
        <v>578</v>
      </c>
      <c r="B193" s="0" t="s">
        <v>579</v>
      </c>
      <c r="C193" s="6" t="n">
        <v>179285</v>
      </c>
      <c r="D193" s="0" t="s">
        <v>177</v>
      </c>
      <c r="E193" s="0" t="s">
        <v>28</v>
      </c>
      <c r="F193" s="0" t="s">
        <v>278</v>
      </c>
      <c r="G193" s="7" t="n">
        <f aca="false">C193/SUM($C$3:$C$239)</f>
        <v>2.21586673057642E-005</v>
      </c>
    </row>
    <row r="194" customFormat="false" ht="15" hidden="false" customHeight="false" outlineLevel="0" collapsed="false">
      <c r="A194" s="0" t="s">
        <v>580</v>
      </c>
      <c r="B194" s="0" t="s">
        <v>581</v>
      </c>
      <c r="C194" s="6" t="n">
        <v>166506</v>
      </c>
      <c r="D194" s="0" t="s">
        <v>391</v>
      </c>
      <c r="E194" s="0" t="s">
        <v>196</v>
      </c>
      <c r="F194" s="0" t="s">
        <v>582</v>
      </c>
      <c r="G194" s="7" t="n">
        <f aca="false">C194/SUM($C$3:$C$239)</f>
        <v>2.05792512391643E-005</v>
      </c>
    </row>
    <row r="195" customFormat="false" ht="15" hidden="false" customHeight="false" outlineLevel="0" collapsed="false">
      <c r="A195" s="0" t="s">
        <v>583</v>
      </c>
      <c r="B195" s="0" t="s">
        <v>584</v>
      </c>
      <c r="C195" s="6" t="n">
        <v>132530</v>
      </c>
      <c r="D195" s="0" t="s">
        <v>585</v>
      </c>
      <c r="E195" s="0" t="s">
        <v>196</v>
      </c>
      <c r="F195" s="0" t="s">
        <v>582</v>
      </c>
      <c r="G195" s="7" t="n">
        <f aca="false">C195/SUM($C$3:$C$239)</f>
        <v>1.63799993197029E-005</v>
      </c>
    </row>
    <row r="196" customFormat="false" ht="15" hidden="false" customHeight="false" outlineLevel="0" collapsed="false">
      <c r="A196" s="0" t="s">
        <v>586</v>
      </c>
      <c r="B196" s="0" t="s">
        <v>587</v>
      </c>
      <c r="C196" s="6" t="n">
        <v>127951</v>
      </c>
      <c r="D196" s="0" t="s">
        <v>504</v>
      </c>
      <c r="E196" s="0" t="s">
        <v>40</v>
      </c>
      <c r="F196" s="0" t="s">
        <v>61</v>
      </c>
      <c r="G196" s="7" t="n">
        <f aca="false">C196/SUM($C$3:$C$239)</f>
        <v>1.58140594050804E-005</v>
      </c>
    </row>
    <row r="197" customFormat="false" ht="15" hidden="false" customHeight="false" outlineLevel="0" collapsed="false">
      <c r="A197" s="0" t="s">
        <v>588</v>
      </c>
      <c r="B197" s="0" t="s">
        <v>589</v>
      </c>
      <c r="C197" s="6" t="n">
        <v>117081</v>
      </c>
      <c r="D197" s="0" t="s">
        <v>590</v>
      </c>
      <c r="E197" s="0" t="s">
        <v>28</v>
      </c>
      <c r="F197" s="0" t="s">
        <v>278</v>
      </c>
      <c r="G197" s="7" t="n">
        <f aca="false">C197/SUM($C$3:$C$239)</f>
        <v>1.4470585530447E-005</v>
      </c>
    </row>
    <row r="198" customFormat="false" ht="15" hidden="false" customHeight="false" outlineLevel="0" collapsed="false">
      <c r="A198" s="0" t="s">
        <v>582</v>
      </c>
      <c r="B198" s="0" t="s">
        <v>591</v>
      </c>
      <c r="C198" s="6" t="n">
        <v>112630</v>
      </c>
      <c r="D198" s="0" t="s">
        <v>592</v>
      </c>
      <c r="E198" s="0" t="s">
        <v>196</v>
      </c>
      <c r="F198" s="0" t="s">
        <v>582</v>
      </c>
      <c r="G198" s="7" t="n">
        <f aca="false">C198/SUM($C$3:$C$239)</f>
        <v>1.39204657313675E-005</v>
      </c>
    </row>
    <row r="199" customFormat="false" ht="15" hidden="false" customHeight="false" outlineLevel="0" collapsed="false">
      <c r="A199" s="0" t="s">
        <v>593</v>
      </c>
      <c r="B199" s="0" t="s">
        <v>594</v>
      </c>
      <c r="C199" s="6" t="n">
        <v>107939</v>
      </c>
      <c r="D199" s="0" t="s">
        <v>463</v>
      </c>
      <c r="E199" s="0" t="s">
        <v>28</v>
      </c>
      <c r="F199" s="0" t="s">
        <v>278</v>
      </c>
      <c r="G199" s="7" t="n">
        <f aca="false">C199/SUM($C$3:$C$239)</f>
        <v>1.33406832156448E-005</v>
      </c>
    </row>
    <row r="200" customFormat="false" ht="15" hidden="false" customHeight="false" outlineLevel="0" collapsed="false">
      <c r="A200" s="0" t="s">
        <v>595</v>
      </c>
      <c r="B200" s="0" t="s">
        <v>596</v>
      </c>
      <c r="C200" s="6" t="n">
        <v>104597</v>
      </c>
      <c r="D200" s="0" t="s">
        <v>597</v>
      </c>
      <c r="E200" s="0" t="s">
        <v>196</v>
      </c>
      <c r="F200" s="0" t="s">
        <v>568</v>
      </c>
      <c r="G200" s="7" t="n">
        <f aca="false">C200/SUM($C$3:$C$239)</f>
        <v>1.29276298863877E-005</v>
      </c>
    </row>
    <row r="201" customFormat="false" ht="15" hidden="false" customHeight="false" outlineLevel="0" collapsed="false">
      <c r="A201" s="0" t="s">
        <v>598</v>
      </c>
      <c r="B201" s="0" t="s">
        <v>599</v>
      </c>
      <c r="C201" s="6" t="n">
        <v>103674</v>
      </c>
      <c r="D201" s="0" t="s">
        <v>600</v>
      </c>
      <c r="E201" s="0" t="s">
        <v>52</v>
      </c>
      <c r="F201" s="0" t="s">
        <v>96</v>
      </c>
      <c r="G201" s="7" t="n">
        <f aca="false">C201/SUM($C$3:$C$239)</f>
        <v>1.28135520219639E-005</v>
      </c>
    </row>
    <row r="202" customFormat="false" ht="15" hidden="false" customHeight="false" outlineLevel="0" collapsed="false">
      <c r="A202" s="0" t="s">
        <v>601</v>
      </c>
      <c r="B202" s="0" t="s">
        <v>602</v>
      </c>
      <c r="C202" s="6" t="n">
        <v>101323</v>
      </c>
      <c r="D202" s="0" t="s">
        <v>603</v>
      </c>
      <c r="E202" s="0" t="s">
        <v>28</v>
      </c>
      <c r="F202" s="0" t="s">
        <v>278</v>
      </c>
      <c r="G202" s="7" t="n">
        <f aca="false">C202/SUM($C$3:$C$239)</f>
        <v>1.25229809935128E-005</v>
      </c>
    </row>
    <row r="203" customFormat="false" ht="15" hidden="false" customHeight="false" outlineLevel="0" collapsed="false">
      <c r="A203" s="0" t="s">
        <v>604</v>
      </c>
      <c r="B203" s="0" t="s">
        <v>605</v>
      </c>
      <c r="C203" s="6" t="n">
        <v>93316</v>
      </c>
      <c r="D203" s="0" t="s">
        <v>498</v>
      </c>
      <c r="E203" s="0" t="s">
        <v>28</v>
      </c>
      <c r="F203" s="0" t="s">
        <v>278</v>
      </c>
      <c r="G203" s="7" t="n">
        <f aca="false">C203/SUM($C$3:$C$239)</f>
        <v>1.15333586095027E-005</v>
      </c>
    </row>
    <row r="204" customFormat="false" ht="15" hidden="false" customHeight="false" outlineLevel="0" collapsed="false">
      <c r="A204" s="0" t="s">
        <v>606</v>
      </c>
      <c r="B204" s="0" t="s">
        <v>607</v>
      </c>
      <c r="C204" s="6" t="n">
        <v>85701</v>
      </c>
      <c r="D204" s="0" t="s">
        <v>608</v>
      </c>
      <c r="E204" s="0" t="s">
        <v>28</v>
      </c>
      <c r="F204" s="0" t="s">
        <v>278</v>
      </c>
      <c r="G204" s="7" t="n">
        <f aca="false">C204/SUM($C$3:$C$239)</f>
        <v>1.05921853293432E-005</v>
      </c>
    </row>
    <row r="205" customFormat="false" ht="15" hidden="false" customHeight="false" outlineLevel="0" collapsed="false">
      <c r="A205" s="0" t="s">
        <v>609</v>
      </c>
      <c r="B205" s="0" t="s">
        <v>610</v>
      </c>
      <c r="C205" s="6" t="n">
        <v>84165</v>
      </c>
      <c r="D205" s="0" t="s">
        <v>577</v>
      </c>
      <c r="E205" s="0" t="s">
        <v>52</v>
      </c>
      <c r="F205" s="0" t="s">
        <v>96</v>
      </c>
      <c r="G205" s="7" t="n">
        <f aca="false">C205/SUM($C$3:$C$239)</f>
        <v>1.04023439428265E-005</v>
      </c>
    </row>
    <row r="206" customFormat="false" ht="15" hidden="false" customHeight="false" outlineLevel="0" collapsed="false">
      <c r="A206" s="0" t="s">
        <v>611</v>
      </c>
      <c r="B206" s="0" t="s">
        <v>612</v>
      </c>
      <c r="C206" s="6" t="n">
        <v>80856</v>
      </c>
      <c r="D206" s="0" t="s">
        <v>613</v>
      </c>
      <c r="E206" s="0" t="s">
        <v>52</v>
      </c>
      <c r="F206" s="0" t="s">
        <v>109</v>
      </c>
      <c r="G206" s="7" t="n">
        <f aca="false">C206/SUM($C$3:$C$239)</f>
        <v>9.99336923710781E-006</v>
      </c>
    </row>
    <row r="207" customFormat="false" ht="15" hidden="false" customHeight="false" outlineLevel="0" collapsed="false">
      <c r="A207" s="0" t="s">
        <v>614</v>
      </c>
      <c r="B207" s="0" t="s">
        <v>615</v>
      </c>
      <c r="C207" s="6" t="n">
        <v>73038</v>
      </c>
      <c r="D207" s="0" t="s">
        <v>571</v>
      </c>
      <c r="E207" s="0" t="s">
        <v>28</v>
      </c>
      <c r="F207" s="0" t="s">
        <v>278</v>
      </c>
      <c r="G207" s="7" t="n">
        <f aca="false">C207/SUM($C$3:$C$239)</f>
        <v>9.02710624245424E-006</v>
      </c>
    </row>
    <row r="208" customFormat="false" ht="15" hidden="false" customHeight="false" outlineLevel="0" collapsed="false">
      <c r="A208" s="0" t="s">
        <v>616</v>
      </c>
      <c r="B208" s="0" t="s">
        <v>617</v>
      </c>
      <c r="C208" s="6" t="n">
        <v>66510</v>
      </c>
      <c r="D208" s="0" t="s">
        <v>618</v>
      </c>
      <c r="E208" s="0" t="s">
        <v>28</v>
      </c>
      <c r="F208" s="0" t="s">
        <v>278</v>
      </c>
      <c r="G208" s="7" t="n">
        <f aca="false">C208/SUM($C$3:$C$239)</f>
        <v>8.22028034975809E-006</v>
      </c>
    </row>
    <row r="209" customFormat="false" ht="15" hidden="false" customHeight="false" outlineLevel="0" collapsed="false">
      <c r="A209" s="0" t="s">
        <v>619</v>
      </c>
      <c r="B209" s="0" t="s">
        <v>620</v>
      </c>
      <c r="C209" s="6" t="n">
        <v>64698</v>
      </c>
      <c r="D209" s="0" t="s">
        <v>423</v>
      </c>
      <c r="E209" s="0" t="s">
        <v>28</v>
      </c>
      <c r="F209" s="0" t="s">
        <v>29</v>
      </c>
      <c r="G209" s="7" t="n">
        <f aca="false">C209/SUM($C$3:$C$239)</f>
        <v>7.99632683910162E-006</v>
      </c>
    </row>
    <row r="210" customFormat="false" ht="15" hidden="false" customHeight="false" outlineLevel="0" collapsed="false">
      <c r="A210" s="0" t="s">
        <v>621</v>
      </c>
      <c r="B210" s="0" t="s">
        <v>622</v>
      </c>
      <c r="C210" s="6" t="n">
        <v>64017</v>
      </c>
      <c r="D210" s="0" t="s">
        <v>592</v>
      </c>
      <c r="E210" s="0" t="s">
        <v>52</v>
      </c>
      <c r="F210" s="0" t="s">
        <v>96</v>
      </c>
      <c r="G210" s="7" t="n">
        <f aca="false">C210/SUM($C$3:$C$239)</f>
        <v>7.91215888062643E-006</v>
      </c>
    </row>
    <row r="211" customFormat="false" ht="15" hidden="false" customHeight="false" outlineLevel="0" collapsed="false">
      <c r="A211" s="0" t="s">
        <v>623</v>
      </c>
      <c r="B211" s="0" t="s">
        <v>624</v>
      </c>
      <c r="C211" s="6" t="n">
        <v>55922</v>
      </c>
      <c r="D211" s="0" t="s">
        <v>255</v>
      </c>
      <c r="E211" s="0" t="s">
        <v>28</v>
      </c>
      <c r="F211" s="0" t="s">
        <v>29</v>
      </c>
      <c r="G211" s="7" t="n">
        <f aca="false">C211/SUM($C$3:$C$239)</f>
        <v>6.91166016718045E-006</v>
      </c>
    </row>
    <row r="212" customFormat="false" ht="15" hidden="false" customHeight="false" outlineLevel="0" collapsed="false">
      <c r="A212" s="0" t="s">
        <v>625</v>
      </c>
      <c r="B212" s="0" t="s">
        <v>626</v>
      </c>
      <c r="C212" s="6" t="n">
        <v>54714</v>
      </c>
      <c r="D212" s="0" t="s">
        <v>627</v>
      </c>
      <c r="E212" s="0" t="s">
        <v>52</v>
      </c>
      <c r="F212" s="0" t="s">
        <v>96</v>
      </c>
      <c r="G212" s="7" t="n">
        <f aca="false">C212/SUM($C$3:$C$239)</f>
        <v>6.76235782674281E-006</v>
      </c>
    </row>
    <row r="213" customFormat="false" ht="15" hidden="false" customHeight="false" outlineLevel="0" collapsed="false">
      <c r="A213" s="0" t="s">
        <v>628</v>
      </c>
      <c r="B213" s="0" t="s">
        <v>629</v>
      </c>
      <c r="C213" s="6" t="n">
        <v>47521</v>
      </c>
      <c r="D213" s="0" t="s">
        <v>630</v>
      </c>
      <c r="E213" s="0" t="s">
        <v>196</v>
      </c>
      <c r="F213" s="0" t="s">
        <v>568</v>
      </c>
      <c r="G213" s="7" t="n">
        <f aca="false">C213/SUM($C$3:$C$239)</f>
        <v>5.87334149001435E-006</v>
      </c>
    </row>
    <row r="214" customFormat="false" ht="15" hidden="false" customHeight="false" outlineLevel="0" collapsed="false">
      <c r="A214" s="0" t="s">
        <v>631</v>
      </c>
      <c r="B214" s="0" t="s">
        <v>632</v>
      </c>
      <c r="C214" s="6" t="n">
        <v>46758</v>
      </c>
      <c r="D214" s="0" t="s">
        <v>633</v>
      </c>
      <c r="E214" s="0" t="s">
        <v>28</v>
      </c>
      <c r="F214" s="0" t="s">
        <v>278</v>
      </c>
      <c r="G214" s="7" t="n">
        <f aca="false">C214/SUM($C$3:$C$239)</f>
        <v>5.77903877001938E-006</v>
      </c>
    </row>
    <row r="215" customFormat="false" ht="15" hidden="false" customHeight="false" outlineLevel="0" collapsed="false">
      <c r="A215" s="0" t="s">
        <v>634</v>
      </c>
      <c r="B215" s="0" t="s">
        <v>635</v>
      </c>
      <c r="C215" s="6" t="n">
        <v>46198</v>
      </c>
      <c r="D215" s="0" t="s">
        <v>366</v>
      </c>
      <c r="E215" s="0" t="s">
        <v>28</v>
      </c>
      <c r="F215" s="0" t="s">
        <v>278</v>
      </c>
      <c r="G215" s="7" t="n">
        <f aca="false">C215/SUM($C$3:$C$239)</f>
        <v>5.70982576451848E-006</v>
      </c>
    </row>
    <row r="216" customFormat="false" ht="15" hidden="false" customHeight="false" outlineLevel="0" collapsed="false">
      <c r="A216" s="0" t="s">
        <v>636</v>
      </c>
      <c r="B216" s="0" t="s">
        <v>637</v>
      </c>
      <c r="C216" s="6" t="n">
        <v>45143</v>
      </c>
      <c r="D216" s="0" t="s">
        <v>638</v>
      </c>
      <c r="E216" s="0" t="s">
        <v>196</v>
      </c>
      <c r="F216" s="0" t="s">
        <v>582</v>
      </c>
      <c r="G216" s="7" t="n">
        <f aca="false">C216/SUM($C$3:$C$239)</f>
        <v>5.5794334059409E-006</v>
      </c>
    </row>
    <row r="217" customFormat="false" ht="15" hidden="false" customHeight="false" outlineLevel="0" collapsed="false">
      <c r="A217" s="0" t="s">
        <v>639</v>
      </c>
      <c r="B217" s="0" t="s">
        <v>640</v>
      </c>
      <c r="C217" s="6" t="n">
        <v>42749</v>
      </c>
      <c r="D217" s="0" t="s">
        <v>641</v>
      </c>
      <c r="E217" s="0" t="s">
        <v>28</v>
      </c>
      <c r="F217" s="0" t="s">
        <v>278</v>
      </c>
      <c r="G217" s="7" t="n">
        <f aca="false">C217/SUM($C$3:$C$239)</f>
        <v>5.28354780742458E-006</v>
      </c>
    </row>
    <row r="218" customFormat="false" ht="15" hidden="false" customHeight="false" outlineLevel="0" collapsed="false">
      <c r="A218" s="0" t="s">
        <v>642</v>
      </c>
      <c r="B218" s="0" t="s">
        <v>643</v>
      </c>
      <c r="C218" s="6" t="n">
        <v>39598</v>
      </c>
      <c r="D218" s="0" t="s">
        <v>644</v>
      </c>
      <c r="E218" s="0" t="s">
        <v>52</v>
      </c>
      <c r="F218" s="0" t="s">
        <v>89</v>
      </c>
      <c r="G218" s="7" t="n">
        <f aca="false">C218/SUM($C$3:$C$239)</f>
        <v>4.89410105682936E-006</v>
      </c>
    </row>
    <row r="219" customFormat="false" ht="15" hidden="false" customHeight="false" outlineLevel="0" collapsed="false">
      <c r="A219" s="0" t="s">
        <v>645</v>
      </c>
      <c r="B219" s="0" t="s">
        <v>646</v>
      </c>
      <c r="C219" s="6" t="n">
        <v>38985</v>
      </c>
      <c r="D219" s="0" t="s">
        <v>647</v>
      </c>
      <c r="E219" s="0" t="s">
        <v>28</v>
      </c>
      <c r="F219" s="0" t="s">
        <v>278</v>
      </c>
      <c r="G219" s="7" t="n">
        <f aca="false">C219/SUM($C$3:$C$239)</f>
        <v>4.81833753473642E-006</v>
      </c>
    </row>
    <row r="220" customFormat="false" ht="15" hidden="false" customHeight="false" outlineLevel="0" collapsed="false">
      <c r="A220" s="0" t="s">
        <v>648</v>
      </c>
      <c r="B220" s="0" t="s">
        <v>649</v>
      </c>
      <c r="C220" s="6" t="n">
        <v>38956</v>
      </c>
      <c r="D220" s="0" t="s">
        <v>650</v>
      </c>
      <c r="E220" s="0" t="s">
        <v>52</v>
      </c>
      <c r="F220" s="0" t="s">
        <v>89</v>
      </c>
      <c r="G220" s="7" t="n">
        <f aca="false">C220/SUM($C$3:$C$239)</f>
        <v>4.81475328980869E-006</v>
      </c>
    </row>
    <row r="221" customFormat="false" ht="15" hidden="false" customHeight="false" outlineLevel="0" collapsed="false">
      <c r="A221" s="0" t="s">
        <v>651</v>
      </c>
      <c r="B221" s="0" t="s">
        <v>652</v>
      </c>
      <c r="C221" s="6" t="n">
        <v>38827</v>
      </c>
      <c r="D221" s="0" t="s">
        <v>653</v>
      </c>
      <c r="E221" s="0" t="s">
        <v>196</v>
      </c>
      <c r="F221" s="0" t="s">
        <v>582</v>
      </c>
      <c r="G221" s="7" t="n">
        <f aca="false">C221/SUM($C$3:$C$239)</f>
        <v>4.79880957961295E-006</v>
      </c>
    </row>
    <row r="222" customFormat="false" ht="15" hidden="false" customHeight="false" outlineLevel="0" collapsed="false">
      <c r="A222" s="0" t="s">
        <v>654</v>
      </c>
      <c r="B222" s="0" t="s">
        <v>655</v>
      </c>
      <c r="C222" s="6" t="n">
        <v>38471</v>
      </c>
      <c r="D222" s="0" t="s">
        <v>656</v>
      </c>
      <c r="E222" s="0" t="s">
        <v>52</v>
      </c>
      <c r="F222" s="0" t="s">
        <v>109</v>
      </c>
      <c r="G222" s="7" t="n">
        <f aca="false">C222/SUM($C$3:$C$239)</f>
        <v>4.75480988325881E-006</v>
      </c>
    </row>
    <row r="223" customFormat="false" ht="15" hidden="false" customHeight="false" outlineLevel="0" collapsed="false">
      <c r="A223" s="0" t="s">
        <v>657</v>
      </c>
      <c r="B223" s="0" t="s">
        <v>658</v>
      </c>
      <c r="C223" s="6" t="n">
        <v>33733</v>
      </c>
      <c r="D223" s="0" t="s">
        <v>659</v>
      </c>
      <c r="E223" s="0" t="s">
        <v>52</v>
      </c>
      <c r="F223" s="0" t="s">
        <v>109</v>
      </c>
      <c r="G223" s="7" t="n">
        <f aca="false">C223/SUM($C$3:$C$239)</f>
        <v>4.16921841886017E-006</v>
      </c>
    </row>
    <row r="224" customFormat="false" ht="15" hidden="false" customHeight="false" outlineLevel="0" collapsed="false">
      <c r="A224" s="0" t="s">
        <v>660</v>
      </c>
      <c r="B224" s="0" t="s">
        <v>661</v>
      </c>
      <c r="C224" s="6" t="n">
        <v>29898</v>
      </c>
      <c r="D224" s="0" t="s">
        <v>662</v>
      </c>
      <c r="E224" s="0" t="s">
        <v>28</v>
      </c>
      <c r="F224" s="0" t="s">
        <v>278</v>
      </c>
      <c r="G224" s="7" t="n">
        <f aca="false">C224/SUM($C$3:$C$239)</f>
        <v>3.69523292583172E-006</v>
      </c>
    </row>
    <row r="225" customFormat="false" ht="15" hidden="false" customHeight="false" outlineLevel="0" collapsed="false">
      <c r="A225" s="0" t="s">
        <v>663</v>
      </c>
      <c r="B225" s="0" t="s">
        <v>664</v>
      </c>
      <c r="C225" s="6" t="n">
        <v>27515</v>
      </c>
      <c r="D225" s="0" t="s">
        <v>665</v>
      </c>
      <c r="E225" s="0" t="s">
        <v>28</v>
      </c>
      <c r="F225" s="0" t="s">
        <v>278</v>
      </c>
      <c r="G225" s="7" t="n">
        <f aca="false">C225/SUM($C$3:$C$239)</f>
        <v>3.40070686849487E-006</v>
      </c>
    </row>
    <row r="226" customFormat="false" ht="15" hidden="false" customHeight="false" outlineLevel="0" collapsed="false">
      <c r="A226" s="0" t="s">
        <v>666</v>
      </c>
      <c r="B226" s="0" t="s">
        <v>667</v>
      </c>
      <c r="C226" s="6" t="n">
        <v>17727</v>
      </c>
      <c r="D226" s="0" t="s">
        <v>23</v>
      </c>
      <c r="E226" s="0" t="s">
        <v>196</v>
      </c>
      <c r="F226" s="0" t="s">
        <v>582</v>
      </c>
      <c r="G226" s="7" t="n">
        <f aca="false">C226/SUM($C$3:$C$239)</f>
        <v>2.19096240806137E-006</v>
      </c>
    </row>
    <row r="227" customFormat="false" ht="15" hidden="false" customHeight="false" outlineLevel="0" collapsed="false">
      <c r="A227" s="0" t="s">
        <v>668</v>
      </c>
      <c r="B227" s="0" t="s">
        <v>669</v>
      </c>
      <c r="C227" s="6" t="n">
        <v>14410</v>
      </c>
      <c r="D227" s="0" t="s">
        <v>670</v>
      </c>
      <c r="E227" s="0" t="s">
        <v>28</v>
      </c>
      <c r="F227" s="0" t="s">
        <v>278</v>
      </c>
      <c r="G227" s="7" t="n">
        <f aca="false">C227/SUM($C$3:$C$239)</f>
        <v>1.78099894512125E-006</v>
      </c>
    </row>
    <row r="228" customFormat="false" ht="15" hidden="false" customHeight="false" outlineLevel="0" collapsed="false">
      <c r="A228" s="0" t="s">
        <v>671</v>
      </c>
      <c r="B228" s="0" t="s">
        <v>672</v>
      </c>
      <c r="C228" s="6" t="n">
        <v>14222</v>
      </c>
      <c r="D228" s="0" t="s">
        <v>673</v>
      </c>
      <c r="E228" s="0" t="s">
        <v>196</v>
      </c>
      <c r="F228" s="0" t="s">
        <v>568</v>
      </c>
      <c r="G228" s="7" t="n">
        <f aca="false">C228/SUM($C$3:$C$239)</f>
        <v>1.75776315041737E-006</v>
      </c>
    </row>
    <row r="229" customFormat="false" ht="15" hidden="false" customHeight="false" outlineLevel="0" collapsed="false">
      <c r="A229" s="0" t="s">
        <v>674</v>
      </c>
      <c r="B229" s="0" t="s">
        <v>675</v>
      </c>
      <c r="C229" s="6" t="n">
        <v>11875</v>
      </c>
      <c r="D229" s="0" t="s">
        <v>676</v>
      </c>
      <c r="E229" s="0" t="s">
        <v>196</v>
      </c>
      <c r="F229" s="0" t="s">
        <v>582</v>
      </c>
      <c r="G229" s="7" t="n">
        <f aca="false">C229/SUM($C$3:$C$239)</f>
        <v>1.46768650057702E-006</v>
      </c>
    </row>
    <row r="230" customFormat="false" ht="15" hidden="false" customHeight="false" outlineLevel="0" collapsed="false">
      <c r="A230" s="0" t="s">
        <v>677</v>
      </c>
      <c r="B230" s="0" t="s">
        <v>678</v>
      </c>
      <c r="C230" s="6" t="n">
        <v>11370</v>
      </c>
      <c r="D230" s="0" t="s">
        <v>679</v>
      </c>
      <c r="E230" s="0" t="s">
        <v>196</v>
      </c>
      <c r="F230" s="0" t="s">
        <v>568</v>
      </c>
      <c r="G230" s="7" t="n">
        <f aca="false">C230/SUM($C$3:$C$239)</f>
        <v>1.40527120097353E-006</v>
      </c>
    </row>
    <row r="231" customFormat="false" ht="15" hidden="false" customHeight="false" outlineLevel="0" collapsed="false">
      <c r="A231" s="0" t="s">
        <v>680</v>
      </c>
      <c r="B231" s="0" t="s">
        <v>681</v>
      </c>
      <c r="C231" s="6" t="n">
        <v>11085</v>
      </c>
      <c r="D231" s="0" t="s">
        <v>132</v>
      </c>
      <c r="E231" s="0" t="s">
        <v>28</v>
      </c>
      <c r="F231" s="0" t="s">
        <v>278</v>
      </c>
      <c r="G231" s="7" t="n">
        <f aca="false">C231/SUM($C$3:$C$239)</f>
        <v>1.37004672495968E-006</v>
      </c>
    </row>
    <row r="232" customFormat="false" ht="15" hidden="false" customHeight="false" outlineLevel="0" collapsed="false">
      <c r="A232" s="0" t="s">
        <v>682</v>
      </c>
      <c r="B232" s="0" t="s">
        <v>683</v>
      </c>
      <c r="C232" s="6" t="n">
        <v>9816</v>
      </c>
      <c r="D232" s="0" t="s">
        <v>684</v>
      </c>
      <c r="E232" s="0" t="s">
        <v>196</v>
      </c>
      <c r="F232" s="0" t="s">
        <v>568</v>
      </c>
      <c r="G232" s="7" t="n">
        <f aca="false">C232/SUM($C$3:$C$239)</f>
        <v>1.21320511070855E-006</v>
      </c>
    </row>
    <row r="233" customFormat="false" ht="15" hidden="false" customHeight="false" outlineLevel="0" collapsed="false">
      <c r="A233" s="0" t="s">
        <v>685</v>
      </c>
      <c r="B233" s="0" t="s">
        <v>686</v>
      </c>
      <c r="C233" s="6" t="n">
        <v>5681</v>
      </c>
      <c r="D233" s="0" t="s">
        <v>687</v>
      </c>
      <c r="E233" s="0" t="s">
        <v>28</v>
      </c>
      <c r="F233" s="0" t="s">
        <v>29</v>
      </c>
      <c r="G233" s="7" t="n">
        <f aca="false">C233/SUM($C$3:$C$239)</f>
        <v>7.02141221876044E-007</v>
      </c>
    </row>
    <row r="234" customFormat="false" ht="15" hidden="false" customHeight="false" outlineLevel="0" collapsed="false">
      <c r="A234" s="0" t="s">
        <v>688</v>
      </c>
      <c r="B234" s="0" t="s">
        <v>689</v>
      </c>
      <c r="C234" s="6" t="n">
        <v>5289</v>
      </c>
      <c r="D234" s="0" t="s">
        <v>690</v>
      </c>
      <c r="E234" s="0" t="s">
        <v>40</v>
      </c>
      <c r="F234" s="0" t="s">
        <v>41</v>
      </c>
      <c r="G234" s="7" t="n">
        <f aca="false">C234/SUM($C$3:$C$239)</f>
        <v>6.53692118025418E-007</v>
      </c>
    </row>
    <row r="235" customFormat="false" ht="15" hidden="false" customHeight="false" outlineLevel="0" collapsed="false">
      <c r="A235" s="0" t="s">
        <v>691</v>
      </c>
      <c r="B235" s="0" t="s">
        <v>692</v>
      </c>
      <c r="C235" s="6" t="n">
        <v>4420</v>
      </c>
      <c r="D235" s="0" t="s">
        <v>693</v>
      </c>
      <c r="E235" s="0" t="s">
        <v>28</v>
      </c>
      <c r="F235" s="0" t="s">
        <v>278</v>
      </c>
      <c r="G235" s="7" t="n">
        <f aca="false">C235/SUM($C$3:$C$239)</f>
        <v>5.4628836484635E-007</v>
      </c>
    </row>
    <row r="236" customFormat="false" ht="15" hidden="false" customHeight="false" outlineLevel="0" collapsed="false">
      <c r="A236" s="0" t="s">
        <v>694</v>
      </c>
      <c r="B236" s="0" t="s">
        <v>695</v>
      </c>
      <c r="C236" s="6" t="n">
        <v>3477</v>
      </c>
      <c r="D236" s="0" t="s">
        <v>696</v>
      </c>
      <c r="E236" s="0" t="s">
        <v>28</v>
      </c>
      <c r="F236" s="0" t="s">
        <v>45</v>
      </c>
      <c r="G236" s="7" t="n">
        <f aca="false">C236/SUM($C$3:$C$239)</f>
        <v>4.2973860736895E-007</v>
      </c>
    </row>
    <row r="237" customFormat="false" ht="15" hidden="false" customHeight="false" outlineLevel="0" collapsed="false">
      <c r="A237" s="0" t="s">
        <v>697</v>
      </c>
      <c r="B237" s="0" t="s">
        <v>698</v>
      </c>
      <c r="C237" s="6" t="n">
        <v>2397</v>
      </c>
      <c r="D237" s="0" t="s">
        <v>699</v>
      </c>
      <c r="E237" s="0" t="s">
        <v>196</v>
      </c>
      <c r="F237" s="0" t="s">
        <v>568</v>
      </c>
      <c r="G237" s="7" t="n">
        <f aca="false">C237/SUM($C$3:$C$239)</f>
        <v>2.96256382474367E-007</v>
      </c>
    </row>
    <row r="238" customFormat="false" ht="15" hidden="false" customHeight="false" outlineLevel="0" collapsed="false">
      <c r="A238" s="0" t="s">
        <v>700</v>
      </c>
      <c r="B238" s="0" t="s">
        <v>701</v>
      </c>
      <c r="C238" s="6" t="n">
        <v>1817</v>
      </c>
      <c r="D238" s="0" t="s">
        <v>702</v>
      </c>
      <c r="E238" s="0" t="s">
        <v>196</v>
      </c>
      <c r="F238" s="0" t="s">
        <v>568</v>
      </c>
      <c r="G238" s="7" t="n">
        <f aca="false">C238/SUM($C$3:$C$239)</f>
        <v>2.24571483919868E-007</v>
      </c>
    </row>
    <row r="239" customFormat="false" ht="15" hidden="false" customHeight="false" outlineLevel="0" collapsed="false">
      <c r="A239" s="0" t="s">
        <v>703</v>
      </c>
      <c r="B239" s="0" t="s">
        <v>704</v>
      </c>
      <c r="C239" s="6" t="n">
        <v>496</v>
      </c>
      <c r="D239" s="0" t="s">
        <v>705</v>
      </c>
      <c r="E239" s="0" t="s">
        <v>52</v>
      </c>
      <c r="F239" s="0" t="s">
        <v>109</v>
      </c>
      <c r="G239" s="7" t="n">
        <f aca="false">C239/SUM($C$3:$C$239)</f>
        <v>6.13029477293642E-008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2026-02-20T16:17:05Z</dcterms:created>
  <dc:creator>Luca Tarallo</dc:creator>
  <dc:description/>
  <dc:language>en-US</dc:language>
  <cp:lastModifiedBy>Luca Tarallo</cp:lastModifiedBy>
  <dcterms:modified xsi:type="dcterms:W3CDTF">2026-02-20T16:36:12Z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0x0101004AD3844844677248A11D434370108DE0</vt:lpwstr>
  </property>
  <property fmtid="{D5CDD505-2E9C-101B-9397-08002B2CF9AE}" pid="3" name="MSIP_Label_defa4170-0d19-0005-0004-bc88714345d2_ActionId">
    <vt:lpwstr>a1503b6a-6ba9-4d0a-af74-a66c16a7a5b9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2026-02-20T16:32:58Z</vt:lpwstr>
  </property>
  <property fmtid="{D5CDD505-2E9C-101B-9397-08002B2CF9AE}" pid="9" name="MSIP_Label_defa4170-0d19-0005-0004-bc88714345d2_SiteId">
    <vt:lpwstr>d02caafd-d7d6-4ef9-970b-9350c6790fba</vt:lpwstr>
  </property>
  <property fmtid="{D5CDD505-2E9C-101B-9397-08002B2CF9AE}" pid="10" name="MSIP_Label_defa4170-0d19-0005-0004-bc88714345d2_Tag">
    <vt:lpwstr>10, 3, 0, 1</vt:lpwstr>
  </property>
</Properties>
</file>